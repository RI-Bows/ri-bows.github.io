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lass\Downloads\"/>
    </mc:Choice>
  </mc:AlternateContent>
  <xr:revisionPtr revIDLastSave="0" documentId="13_ncr:1_{89B20F8A-0B36-4FE2-B902-06F6A98295AB}" xr6:coauthVersionLast="47" xr6:coauthVersionMax="47" xr10:uidLastSave="{00000000-0000-0000-0000-000000000000}"/>
  <bookViews>
    <workbookView xWindow="-110" yWindow="-110" windowWidth="19420" windowHeight="12220" activeTab="3" xr2:uid="{00000000-000D-0000-FFFF-FFFF00000000}"/>
  </bookViews>
  <sheets>
    <sheet name="M1 - M1 Project Estimation" sheetId="1" r:id="rId1"/>
    <sheet name="Members Total" sheetId="2" r:id="rId2"/>
    <sheet name="Charles" sheetId="3" r:id="rId3"/>
    <sheet name="Kate" sheetId="4" r:id="rId4"/>
    <sheet name="Gerric" sheetId="5" r:id="rId5"/>
    <sheet name="Ethan" sheetId="6" r:id="rId6"/>
    <sheet name="TJ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7" l="1"/>
  <c r="K2" i="7"/>
  <c r="J2" i="7"/>
  <c r="L2" i="6"/>
  <c r="K2" i="6"/>
  <c r="J2" i="6"/>
  <c r="L2" i="5"/>
  <c r="K2" i="5"/>
  <c r="J2" i="5"/>
  <c r="L2" i="4"/>
  <c r="K2" i="4"/>
  <c r="J2" i="4"/>
  <c r="M2" i="3"/>
  <c r="L2" i="3"/>
  <c r="K2" i="3"/>
</calcChain>
</file>

<file path=xl/sharedStrings.xml><?xml version="1.0" encoding="utf-8"?>
<sst xmlns="http://schemas.openxmlformats.org/spreadsheetml/2006/main" count="982" uniqueCount="261">
  <si>
    <t>Title</t>
  </si>
  <si>
    <t>URL</t>
  </si>
  <si>
    <t>Assignees</t>
  </si>
  <si>
    <t>Status</t>
  </si>
  <si>
    <t>Linked pull requests</t>
  </si>
  <si>
    <t>Time Estimate</t>
  </si>
  <si>
    <t>Coding Time</t>
  </si>
  <si>
    <t>Non-Coding Time</t>
  </si>
  <si>
    <t>Sub-issues progress</t>
  </si>
  <si>
    <t>Create navbar for landing page</t>
  </si>
  <si>
    <t>https://github.com/RI-Bows/RIBows/issues/3</t>
  </si>
  <si>
    <t>KateHamada</t>
  </si>
  <si>
    <t>Done</t>
  </si>
  <si>
    <t>https://github.com/RI-Bows/RIBows/pull/22</t>
  </si>
  <si>
    <t>Upload Project to Vercel</t>
  </si>
  <si>
    <t>https://github.com/RI-Bows/RIBows/issues/6</t>
  </si>
  <si>
    <t>g3rr1c</t>
  </si>
  <si>
    <t>Create mockup of login page</t>
  </si>
  <si>
    <t>https://github.com/RI-Bows/RIBows/issues/9</t>
  </si>
  <si>
    <t>ethnchiu</t>
  </si>
  <si>
    <t>Determine design for hero page</t>
  </si>
  <si>
    <t>https://github.com/RI-Bows/RIBows/issues/4</t>
  </si>
  <si>
    <t>https://github.com/RI-Bows/RIBows/pull/34</t>
  </si>
  <si>
    <t>Updating project home page (M1)</t>
  </si>
  <si>
    <t>https://github.com/RI-Bows/RIBows/issues/5</t>
  </si>
  <si>
    <t>https://github.com/RI-Bows/ri-bows.github.io/pull/16</t>
  </si>
  <si>
    <t>Create a mockup of add RIO page</t>
  </si>
  <si>
    <t>https://github.com/RI-Bows/RIBows/issues/13</t>
  </si>
  <si>
    <t>tjlacasio</t>
  </si>
  <si>
    <t>https://github.com/RI-Bows/RIBows/pull/27</t>
  </si>
  <si>
    <t>Create a footer for landing page</t>
  </si>
  <si>
    <t>https://github.com/RI-Bows/RIBows/issues/18</t>
  </si>
  <si>
    <t>https://github.com/RI-Bows/RIBows/pull/41</t>
  </si>
  <si>
    <t>Add interests to sign-in page</t>
  </si>
  <si>
    <t>https://github.com/RI-Bows/RIBows/issues/25</t>
  </si>
  <si>
    <t>https://github.com/RI-Bows/RIBows/pull/26</t>
  </si>
  <si>
    <t>Create database</t>
  </si>
  <si>
    <t>https://github.com/RI-Bows/RIBows/issues/1</t>
  </si>
  <si>
    <t>cbxiii</t>
  </si>
  <si>
    <t>https://github.com/RI-Bows/RIBows/pull/39</t>
  </si>
  <si>
    <t>Add pictures to Hero Page</t>
  </si>
  <si>
    <t>https://github.com/RI-Bows/RIBows/issues/17</t>
  </si>
  <si>
    <t>Create mockup of edit profile page</t>
  </si>
  <si>
    <t>https://github.com/RI-Bows/RIBows/issues/16</t>
  </si>
  <si>
    <t>https://github.com/RI-Bows/RIBows/pull/40</t>
  </si>
  <si>
    <t>Create a mockup of bookmarks page</t>
  </si>
  <si>
    <t>https://github.com/RI-Bows/RIBows/issues/2</t>
  </si>
  <si>
    <t>https://github.com/RI-Bows/RIBows/pull/24</t>
  </si>
  <si>
    <t>Create mockup of sign up page</t>
  </si>
  <si>
    <t>https://github.com/RI-Bows/RIBows/issues/20</t>
  </si>
  <si>
    <t>https://github.com/RI-Bows/RIBows/pull/21</t>
  </si>
  <si>
    <t>Update Navbar</t>
  </si>
  <si>
    <t>https://github.com/RI-Bows/RIBows/issues/32</t>
  </si>
  <si>
    <t>https://github.com/RI-Bows/RIBows/pull/33</t>
  </si>
  <si>
    <t>Create feedback form</t>
  </si>
  <si>
    <t>https://github.com/RI-Bows/RIBows/issues/43</t>
  </si>
  <si>
    <t>Interface with UH Mānoa Approved RIOs Google Spreadsheet and parse RIO data</t>
  </si>
  <si>
    <t>https://github.com/RI-Bows/RIBows/issues/36</t>
  </si>
  <si>
    <t>https://github.com/RI-Bows/RIBows/pull/45</t>
  </si>
  <si>
    <t>Fix landing page pictures</t>
  </si>
  <si>
    <t>https://github.com/RI-Bows/RIBows/issues/48</t>
  </si>
  <si>
    <t>Non-coding Time</t>
  </si>
  <si>
    <t>Create Feedback page/ Form</t>
  </si>
  <si>
    <t>https://github.com/RI-Bows/RIBows/issues/31</t>
  </si>
  <si>
    <t>https://github.com/RI-Bows/RIBows/pull/92</t>
  </si>
  <si>
    <t>Create an About Us page/Info page</t>
  </si>
  <si>
    <t>https://github.com/RI-Bows/RIBows/issues/54</t>
  </si>
  <si>
    <t>https://github.com/RI-Bows/RIBows/pull/63</t>
  </si>
  <si>
    <t>Improve sign up error handling</t>
  </si>
  <si>
    <t>https://github.com/RI-Bows/RIBows/issues/68</t>
  </si>
  <si>
    <t>https://github.com/RI-Bows/RIBows/pull/93</t>
  </si>
  <si>
    <t>Link sign up page to database</t>
  </si>
  <si>
    <t>https://github.com/RI-Bows/RIBows/issues/58</t>
  </si>
  <si>
    <t>https://github.com/RI-Bows/RIBows/pull/59</t>
  </si>
  <si>
    <t>Fix search page alphabetical filter</t>
  </si>
  <si>
    <t>https://github.com/RI-Bows/RIBows/issues/107</t>
  </si>
  <si>
    <t>https://github.com/RI-Bows/RIBows/pull/108</t>
  </si>
  <si>
    <t>Link Search bar to database</t>
  </si>
  <si>
    <t>https://github.com/RI-Bows/RIBows/issues/50</t>
  </si>
  <si>
    <t>https://github.com/RI-Bows/RIBows/pull/106</t>
  </si>
  <si>
    <t>Remove unused schema models</t>
  </si>
  <si>
    <t>https://github.com/RI-Bows/RIBows/issues/69</t>
  </si>
  <si>
    <t>https://github.com/RI-Bows/RIBows/pull/84</t>
  </si>
  <si>
    <t>Update prisma schema to include bookmarks counter</t>
  </si>
  <si>
    <t>https://github.com/RI-Bows/RIBows/issues/82</t>
  </si>
  <si>
    <t>https://github.com/RI-Bows/RIBows/pull/83</t>
  </si>
  <si>
    <t>Create cron job to periodically update RIO data from spreadsheet</t>
  </si>
  <si>
    <t>https://github.com/RI-Bows/RIBows/issues/46</t>
  </si>
  <si>
    <t>https://github.com/RI-Bows/RIBows/pull/80</t>
  </si>
  <si>
    <t>Fix spreadsheet syncing</t>
  </si>
  <si>
    <t>https://github.com/RI-Bows/RIBows/issues/78</t>
  </si>
  <si>
    <t>https://github.com/RI-Bows/RIBows/pull/79</t>
  </si>
  <si>
    <t>Fix sign up page interests multiselect dropdown</t>
  </si>
  <si>
    <t>https://github.com/RI-Bows/RIBows/issues/61</t>
  </si>
  <si>
    <t>https://github.com/RI-Bows/RIBows/pull/70</t>
  </si>
  <si>
    <t>Restyle sign in and sign up pages</t>
  </si>
  <si>
    <t>https://github.com/RI-Bows/RIBows/issues/71</t>
  </si>
  <si>
    <t>https://github.com/RI-Bows/RIBows/pull/72</t>
  </si>
  <si>
    <t>Create CI badge on project home page</t>
  </si>
  <si>
    <t>https://github.com/RI-Bows/RIBows/issues/57</t>
  </si>
  <si>
    <t>https://github.com/RI-Bows/RIBows/pull/85</t>
  </si>
  <si>
    <t>change search bar filters to multiple rows</t>
  </si>
  <si>
    <t>https://github.com/RI-Bows/RIBows/issues/111</t>
  </si>
  <si>
    <t>https://github.com/RI-Bows/RIBows/pull/112</t>
  </si>
  <si>
    <t>Create a mockup of Search tab</t>
  </si>
  <si>
    <t>https://github.com/RI-Bows/RIBows/issues/37</t>
  </si>
  <si>
    <t>Create RiO pop up card</t>
  </si>
  <si>
    <t>https://github.com/RI-Bows/RIBows/issues/75</t>
  </si>
  <si>
    <t>https://github.com/RI-Bows/RIBows/pull/105</t>
  </si>
  <si>
    <t>Fix search bar logic</t>
  </si>
  <si>
    <t>https://github.com/RI-Bows/RIBows/issues/101</t>
  </si>
  <si>
    <t>Connect edit RIO page to database</t>
  </si>
  <si>
    <t>https://github.com/RI-Bows/RIBows/issues/14</t>
  </si>
  <si>
    <t>https://github.com/RI-Bows/RIBows/pull/64</t>
  </si>
  <si>
    <t>Implement Playwright “availability” tests for all pages.</t>
  </si>
  <si>
    <t>https://github.com/RI-Bows/RIBows/issues/42</t>
  </si>
  <si>
    <t>https://github.com/RI-Bows/RIBows/pull/94, https://github.com/RI-Bows/RIBows/pull/95</t>
  </si>
  <si>
    <t>Get EditClub page to update database</t>
  </si>
  <si>
    <t>https://github.com/RI-Bows/RIBows/issues/65</t>
  </si>
  <si>
    <t>https://github.com/RI-Bows/RIBows/pull/66</t>
  </si>
  <si>
    <t>Create Club Account</t>
  </si>
  <si>
    <t>https://github.com/RI-Bows/RIBows/issues/96</t>
  </si>
  <si>
    <t>https://github.com/RI-Bows/RIBows/pull/97</t>
  </si>
  <si>
    <t>Add Continuous Integration Section to github.io page</t>
  </si>
  <si>
    <t>https://github.com/RI-Bows/RIBows/issues/98</t>
  </si>
  <si>
    <t>https://github.com/RI-Bows/ri-bows.github.io/pull/19</t>
  </si>
  <si>
    <t>Fix ESLint error &amp; Playwright Test Error</t>
  </si>
  <si>
    <t>https://github.com/RI-Bows/RIBows/issues/99</t>
  </si>
  <si>
    <t>https://github.com/RI-Bows/RIBows/pull/100</t>
  </si>
  <si>
    <t>Updating project home page (M2)</t>
  </si>
  <si>
    <t>https://github.com/RI-Bows/ri-bows.github.io/issues/15</t>
  </si>
  <si>
    <t>https://github.com/RI-Bows/RIBows/pull/73</t>
  </si>
  <si>
    <t>FIx styling issues</t>
  </si>
  <si>
    <t>https://github.com/RI-Bows/RIBows/issues/81</t>
  </si>
  <si>
    <t>Choose site theme</t>
  </si>
  <si>
    <t>https://github.com/RI-Bows/RIBows/issues/55</t>
  </si>
  <si>
    <t>Create logic for trending tab Pt.1</t>
  </si>
  <si>
    <t>https://github.com/RI-Bows/RIBows/issues/53</t>
  </si>
  <si>
    <t>https://github.com/RI-Bows/RIBows/pull/56</t>
  </si>
  <si>
    <t>Link Edit Profile to Database</t>
  </si>
  <si>
    <t>https://github.com/RI-Bows/RIBows/issues/114</t>
  </si>
  <si>
    <t>https://github.com/RI-Bows/RIBows/pull/160</t>
  </si>
  <si>
    <t>Update Model Card Aesthetics</t>
  </si>
  <si>
    <t>https://github.com/RI-Bows/RIBows/issues/140</t>
  </si>
  <si>
    <t>https://github.com/RI-Bows/RIBows/pull/167</t>
  </si>
  <si>
    <t>Replace all instances of the word "club" with "RIO"</t>
  </si>
  <si>
    <t>https://github.com/RI-Bows/RIBows/issues/192</t>
  </si>
  <si>
    <t>https://github.com/RI-Bows/RIBows/pull/193</t>
  </si>
  <si>
    <t>Update schema to map saved RIOs to each user</t>
  </si>
  <si>
    <t>https://github.com/RI-Bows/RIBows/issues/120</t>
  </si>
  <si>
    <t>https://github.com/RI-Bows/RIBows/pull/123</t>
  </si>
  <si>
    <t>Restyle about us</t>
  </si>
  <si>
    <t>https://github.com/RI-Bows/RIBows/issues/155</t>
  </si>
  <si>
    <t>https://github.com/RI-Bows/RIBows/pull/198</t>
  </si>
  <si>
    <t>Restyle feedback</t>
  </si>
  <si>
    <t>https://github.com/RI-Bows/RIBows/issues/156</t>
  </si>
  <si>
    <t>https://github.com/RI-Bows/RIBows/pull/195</t>
  </si>
  <si>
    <t>Restyle footer</t>
  </si>
  <si>
    <t>https://github.com/RI-Bows/RIBows/issues/154</t>
  </si>
  <si>
    <t>https://github.com/RI-Bows/RIBows/pull/194</t>
  </si>
  <si>
    <t>Fix home page search bar shifting</t>
  </si>
  <si>
    <t>https://github.com/RI-Bows/RIBows/issues/163</t>
  </si>
  <si>
    <t>https://github.com/RI-Bows/RIBows/pull/169</t>
  </si>
  <si>
    <t>Implement trending logic on home page</t>
  </si>
  <si>
    <t>https://github.com/RI-Bows/RIBows/issues/138</t>
  </si>
  <si>
    <t>https://github.com/RI-Bows/RIBows/pull/145</t>
  </si>
  <si>
    <t>Add icon for search and about us in navbar</t>
  </si>
  <si>
    <t>https://github.com/RI-Bows/RIBows/issues/153</t>
  </si>
  <si>
    <t>https://github.com/RI-Bows/RIBows/pull/159</t>
  </si>
  <si>
    <t>Link Bookmarks to Database</t>
  </si>
  <si>
    <t>https://github.com/RI-Bows/RIBows/issues/116</t>
  </si>
  <si>
    <t>https://github.com/RI-Bows/RIBows/pull/125</t>
  </si>
  <si>
    <t>Update color scheme</t>
  </si>
  <si>
    <t>https://github.com/RI-Bows/RIBows/issues/150</t>
  </si>
  <si>
    <t>https://github.com/RI-Bows/RIBows/pull/152</t>
  </si>
  <si>
    <t>Restyle home page</t>
  </si>
  <si>
    <t>https://github.com/RI-Bows/RIBows/issues/148</t>
  </si>
  <si>
    <t>Increment bookmarks counter when adding bookmark</t>
  </si>
  <si>
    <t>https://github.com/RI-Bows/RIBows/issues/134</t>
  </si>
  <si>
    <t>https://github.com/RI-Bows/RIBows/pull/172</t>
  </si>
  <si>
    <t>Fix feedback page spacing</t>
  </si>
  <si>
    <t>https://github.com/RI-Bows/RIBows/issues/187</t>
  </si>
  <si>
    <t>https://github.com/RI-Bows/RIBows/pull/188</t>
  </si>
  <si>
    <t>Fix searchbar filter styling</t>
  </si>
  <si>
    <t>https://github.com/RI-Bows/RIBows/issues/174</t>
  </si>
  <si>
    <t>https://github.com/RI-Bows/RIBows/pull/181</t>
  </si>
  <si>
    <t>Fix search cards styling</t>
  </si>
  <si>
    <t>https://github.com/RI-Bows/RIBows/issues/118</t>
  </si>
  <si>
    <t>https://github.com/RI-Bows/RIBows/pull/124</t>
  </si>
  <si>
    <t>Fix bookmark counter again</t>
  </si>
  <si>
    <t>https://github.com/RI-Bows/RIBows/issues/182</t>
  </si>
  <si>
    <t>https://github.com/RI-Bows/RIBows/pull/183</t>
  </si>
  <si>
    <t>Fix card spacing for bookmark tab</t>
  </si>
  <si>
    <t>https://github.com/RI-Bows/RIBows/issues/141</t>
  </si>
  <si>
    <t>https://github.com/RI-Bows/RIBows/pull/143</t>
  </si>
  <si>
    <t>Implement bookmark button to RIO card</t>
  </si>
  <si>
    <t>https://github.com/RI-Bows/RIBows/issues/110</t>
  </si>
  <si>
    <t>https://github.com/RI-Bows/RIBows/pull/130</t>
  </si>
  <si>
    <t>Create EditClub page for admin</t>
  </si>
  <si>
    <t>https://github.com/RI-Bows/RIBows/issues/67</t>
  </si>
  <si>
    <t>https://github.com/RI-Bows/RIBows/pull/126, https://github.com/RI-Bows/RIBows/pull/131</t>
  </si>
  <si>
    <t>Link Add RIO to Database</t>
  </si>
  <si>
    <t>https://github.com/RI-Bows/RIBows/issues/115</t>
  </si>
  <si>
    <t>https://github.com/RI-Bows/RIBows/pull/157</t>
  </si>
  <si>
    <t>Fix Github Playwright Error</t>
  </si>
  <si>
    <t>https://github.com/RI-Bows/RIBows/issues/132</t>
  </si>
  <si>
    <t>https://github.com/RI-Bows/RIBows/pull/178, https://github.com/RI-Bows/RIBows/pull/199, https://github.com/RI-Bows/RIBows/pull/200</t>
  </si>
  <si>
    <t>Update github.io home page</t>
  </si>
  <si>
    <t>https://github.com/RI-Bows/RIBows/issues/133</t>
  </si>
  <si>
    <t>https://github.com/RI-Bows/ri-bows.github.io/pull/20</t>
  </si>
  <si>
    <t>Add Delete button for admin</t>
  </si>
  <si>
    <t>https://github.com/RI-Bows/RIBows/issues/135</t>
  </si>
  <si>
    <t>https://github.com/RI-Bows/RIBows/pull/175</t>
  </si>
  <si>
    <t>https://github.com/RI-Bows/RIBows/issues/142</t>
  </si>
  <si>
    <t>https://github.com/RI-Bows/RIBows/pull/158</t>
  </si>
  <si>
    <t>Ensure consistent padding and margins across all pages</t>
  </si>
  <si>
    <t>https://github.com/RI-Bows/RIBows/issues/151</t>
  </si>
  <si>
    <t>Update Help Page to current style</t>
  </si>
  <si>
    <t>https://github.com/RI-Bows/RIBows/issues/196</t>
  </si>
  <si>
    <t>https://github.com/RI-Bows/RIBows/pull/197</t>
  </si>
  <si>
    <t>Fix google form</t>
  </si>
  <si>
    <t>https://github.com/RI-Bows/RIBows/issues/185</t>
  </si>
  <si>
    <t>Make bookmark button clickable in RIO card</t>
  </si>
  <si>
    <t>https://github.com/RI-Bows/RIBows/issues/177</t>
  </si>
  <si>
    <t>https://github.com/RI-Bows/RIBows/pull/180</t>
  </si>
  <si>
    <t>update landing search bar to have updated card</t>
  </si>
  <si>
    <t>https://github.com/RI-Bows/RIBows/issues/171</t>
  </si>
  <si>
    <t>https://github.com/RI-Bows/RIBows/pull/173</t>
  </si>
  <si>
    <t>Check and fix all buttons across the site</t>
  </si>
  <si>
    <t>https://github.com/RI-Bows/RIBows/issues/164</t>
  </si>
  <si>
    <t>https://github.com/RI-Bows/RIBows/pull/170</t>
  </si>
  <si>
    <t>Fix bookmarks view</t>
  </si>
  <si>
    <t>https://github.com/RI-Bows/RIBows/issues/121</t>
  </si>
  <si>
    <t>https://github.com/RI-Bows/RIBows/pull/129</t>
  </si>
  <si>
    <t>Fix styling</t>
  </si>
  <si>
    <t>https://github.com/RI-Bows/RIBows/issues/119</t>
  </si>
  <si>
    <t>https://github.com/RI-Bows/RIBows/pull/146</t>
  </si>
  <si>
    <t>Add Search bar Feature to Landing Page</t>
  </si>
  <si>
    <t>https://github.com/RI-Bows/RIBows/issues/137</t>
  </si>
  <si>
    <t>https://github.com/RI-Bows/RIBows/pull/161</t>
  </si>
  <si>
    <t>Add image to RIO cards</t>
  </si>
  <si>
    <t>https://github.com/RI-Bows/RIBows/issues/186</t>
  </si>
  <si>
    <t>https://github.com/RI-Bows/RIBows/pull/190</t>
  </si>
  <si>
    <t>Fix sign in page error handling</t>
  </si>
  <si>
    <t>https://github.com/RI-Bows/RIBows/issues/122</t>
  </si>
  <si>
    <t>https://github.com/RI-Bows/RIBows/pull/166</t>
  </si>
  <si>
    <t>Create help/guide page that provides instructions on how to use the site</t>
  </si>
  <si>
    <t>https://github.com/RI-Bows/RIBows/issues/144</t>
  </si>
  <si>
    <t>https://github.com/RI-Bows/RIBows/pull/162</t>
  </si>
  <si>
    <t xml:space="preserve">Team Member </t>
  </si>
  <si>
    <t>Total development experience for each team member (months)</t>
  </si>
  <si>
    <t>How was coding effort tracked?</t>
  </si>
  <si>
    <t>How was non-coding effort tracked</t>
  </si>
  <si>
    <t>Ethan</t>
  </si>
  <si>
    <t>Timer/Best Guess</t>
  </si>
  <si>
    <t>Best Guess</t>
  </si>
  <si>
    <t>Kate</t>
  </si>
  <si>
    <t>Gerric</t>
  </si>
  <si>
    <t>Timer/ Best Guess</t>
  </si>
  <si>
    <t xml:space="preserve">Charles </t>
  </si>
  <si>
    <t>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</si>
</sst>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rgb="FFFFFFFF"/>
      <name val="Roboto"/>
    </font>
    <font>
      <sz val="10"/>
      <color theme="1"/>
      <name val="Arial"/>
    </font>
    <font>
      <sz val="10"/>
      <color rgb="FF434343"/>
      <name val="Roboto"/>
    </font>
    <font>
      <u/>
      <sz val="10"/>
      <color rgb="FF434343"/>
      <name val="Roboto"/>
    </font>
    <font>
      <sz val="10"/>
      <color rgb="FF2C481F"/>
      <name val="Roboto"/>
    </font>
    <font>
      <u/>
      <sz val="10"/>
      <color rgb="FF434343"/>
      <name val="Roboto"/>
    </font>
    <font>
      <sz val="10"/>
      <color rgb="FF2A3243"/>
      <name val="Roboto"/>
    </font>
    <font>
      <sz val="10"/>
      <color rgb="FF133819"/>
      <name val="Roboto"/>
    </font>
    <font>
      <sz val="10"/>
      <color rgb="FF3F4170"/>
      <name val="Roboto"/>
    </font>
    <font>
      <sz val="10"/>
      <color rgb="FF3F4528"/>
      <name val="Roboto"/>
    </font>
    <font>
      <u/>
      <sz val="10"/>
      <color rgb="FF434343"/>
      <name val="Roboto"/>
    </font>
    <font>
      <u/>
      <sz val="10"/>
      <color rgb="FF0000FF"/>
      <name val="Arial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0" borderId="0" xfId="0" applyFont="1" applyAlignment="1"/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0" fontId="5" fillId="4" borderId="7" xfId="0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right" vertical="center"/>
    </xf>
    <xf numFmtId="0" fontId="5" fillId="4" borderId="9" xfId="0" applyFont="1" applyFill="1" applyBorder="1" applyAlignment="1">
      <alignment horizontal="right" vertical="center"/>
    </xf>
    <xf numFmtId="0" fontId="9" fillId="4" borderId="8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10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11" fillId="4" borderId="8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12" fillId="4" borderId="8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13" fillId="3" borderId="11" xfId="0" applyFont="1" applyFill="1" applyBorder="1" applyAlignment="1">
      <alignment vertical="center"/>
    </xf>
    <xf numFmtId="0" fontId="12" fillId="3" borderId="11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5" fillId="3" borderId="11" xfId="0" applyFont="1" applyFill="1" applyBorder="1" applyAlignment="1">
      <alignment horizontal="right" vertical="center"/>
    </xf>
    <xf numFmtId="0" fontId="5" fillId="3" borderId="12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vertical="center"/>
    </xf>
    <xf numFmtId="0" fontId="14" fillId="3" borderId="5" xfId="0" applyFont="1" applyFill="1" applyBorder="1" applyAlignment="1">
      <alignment vertical="center"/>
    </xf>
    <xf numFmtId="0" fontId="15" fillId="4" borderId="8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1" fillId="0" borderId="0" xfId="0" applyFont="1"/>
    <xf numFmtId="0" fontId="5" fillId="4" borderId="8" xfId="0" applyFont="1" applyFill="1" applyBorder="1" applyAlignment="1">
      <alignment horizontal="right" vertical="center"/>
    </xf>
  </cellXfs>
  <cellStyles count="1">
    <cellStyle name="Normal" xfId="0" builtinId="0"/>
  </cellStyles>
  <dxfs count="9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3">
    <tableStyle name="M1 - M1 Project Estimation-style" pivot="0" count="4" xr9:uid="{00000000-0011-0000-FFFF-FFFF00000000}">
      <tableStyleElement type="wholeTable" size="0" dxfId="88"/>
      <tableStyleElement type="headerRow" dxfId="91"/>
      <tableStyleElement type="firstRowStripe" dxfId="90"/>
      <tableStyleElement type="secondRowStripe" dxfId="89"/>
    </tableStyle>
    <tableStyle name="M1 - M1 Project Estimation-style 2" pivot="0" count="4" xr9:uid="{00000000-0011-0000-FFFF-FFFF01000000}">
      <tableStyleElement type="wholeTable" size="0" dxfId="84"/>
      <tableStyleElement type="headerRow" dxfId="87"/>
      <tableStyleElement type="firstRowStripe" dxfId="86"/>
      <tableStyleElement type="secondRowStripe" dxfId="85"/>
    </tableStyle>
    <tableStyle name="M1 - M1 Project Estimation-style 3" pivot="0" count="4" xr9:uid="{00000000-0011-0000-FFFF-FFFF02000000}">
      <tableStyleElement type="wholeTable" size="0" dxfId="80"/>
      <tableStyleElement type="headerRow" dxfId="83"/>
      <tableStyleElement type="firstRowStripe" dxfId="82"/>
      <tableStyleElement type="secondRowStripe" dxfId="81"/>
    </tableStyle>
    <tableStyle name="Charles-style" pivot="0" count="4" xr9:uid="{00000000-0011-0000-FFFF-FFFF03000000}">
      <tableStyleElement type="wholeTable" size="0" dxfId="76"/>
      <tableStyleElement type="headerRow" dxfId="79"/>
      <tableStyleElement type="firstRowStripe" dxfId="78"/>
      <tableStyleElement type="secondRowStripe" dxfId="77"/>
    </tableStyle>
    <tableStyle name="Charles-style 2" pivot="0" count="4" xr9:uid="{00000000-0011-0000-FFFF-FFFF04000000}">
      <tableStyleElement type="wholeTable" size="0" dxfId="72"/>
      <tableStyleElement type="headerRow" dxfId="75"/>
      <tableStyleElement type="firstRowStripe" dxfId="74"/>
      <tableStyleElement type="secondRowStripe" dxfId="73"/>
    </tableStyle>
    <tableStyle name="Charles-style 3" pivot="0" count="4" xr9:uid="{00000000-0011-0000-FFFF-FFFF05000000}">
      <tableStyleElement type="wholeTable" size="0" dxfId="68"/>
      <tableStyleElement type="headerRow" dxfId="71"/>
      <tableStyleElement type="firstRowStripe" dxfId="70"/>
      <tableStyleElement type="secondRowStripe" dxfId="69"/>
    </tableStyle>
    <tableStyle name="Charles-style 4" pivot="0" count="4" xr9:uid="{00000000-0011-0000-FFFF-FFFF06000000}">
      <tableStyleElement type="wholeTable" size="0" dxfId="64"/>
      <tableStyleElement type="headerRow" dxfId="67"/>
      <tableStyleElement type="firstRowStripe" dxfId="66"/>
      <tableStyleElement type="secondRowStripe" dxfId="65"/>
    </tableStyle>
    <tableStyle name="Kate-style" pivot="0" count="4" xr9:uid="{00000000-0011-0000-FFFF-FFFF07000000}">
      <tableStyleElement type="wholeTable" size="0" dxfId="60"/>
      <tableStyleElement type="headerRow" dxfId="63"/>
      <tableStyleElement type="firstRowStripe" dxfId="62"/>
      <tableStyleElement type="secondRowStripe" dxfId="61"/>
    </tableStyle>
    <tableStyle name="Kate-style 2" pivot="0" count="4" xr9:uid="{00000000-0011-0000-FFFF-FFFF08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Kate-style 3" pivot="0" count="4" xr9:uid="{00000000-0011-0000-FFFF-FFFF09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Kate-style 4" pivot="0" count="4" xr9:uid="{00000000-0011-0000-FFFF-FFFF0A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Gerric-style" pivot="0" count="4" xr9:uid="{00000000-0011-0000-FFFF-FFFF0B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Gerric-style 2" pivot="0" count="4" xr9:uid="{00000000-0011-0000-FFFF-FFFF0C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Gerric-style 3" pivot="0" count="4" xr9:uid="{00000000-0011-0000-FFFF-FFFF0D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Gerric-style 4" pivot="0" count="4" xr9:uid="{00000000-0011-0000-FFFF-FFFF0E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Ethan-style" pivot="0" count="4" xr9:uid="{00000000-0011-0000-FFFF-FFFF0F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Ethan-style 2" pivot="0" count="4" xr9:uid="{00000000-0011-0000-FFFF-FFFF10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Ethan-style 3" pivot="0" count="4" xr9:uid="{00000000-0011-0000-FFFF-FFFF11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Ethan-style 4" pivot="0" count="4" xr9:uid="{00000000-0011-0000-FFFF-FFFF12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TJ-style" pivot="0" count="4" xr9:uid="{00000000-0011-0000-FFFF-FFFF13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TJ-style 2" pivot="0" count="4" xr9:uid="{00000000-0011-0000-FFFF-FFFF14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TJ-style 3" pivot="0" count="4" xr9:uid="{00000000-0011-0000-FFFF-FFFF1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TJ-style 4" pivot="0" count="4" xr9:uid="{00000000-0011-0000-FFFF-FFFF1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1_Effort_Estimation" displayName="M1_Effort_Estimation" ref="A1:I18">
  <tableColumns count="9">
    <tableColumn id="1" xr3:uid="{00000000-0010-0000-0000-000001000000}" name="Title"/>
    <tableColumn id="2" xr3:uid="{00000000-0010-0000-0000-000002000000}" name="URL"/>
    <tableColumn id="3" xr3:uid="{00000000-0010-0000-0000-000003000000}" name="Assignees"/>
    <tableColumn id="4" xr3:uid="{00000000-0010-0000-0000-000004000000}" name="Status"/>
    <tableColumn id="5" xr3:uid="{00000000-0010-0000-0000-000005000000}" name="Linked pull requests"/>
    <tableColumn id="6" xr3:uid="{00000000-0010-0000-0000-000006000000}" name="Time Estimate"/>
    <tableColumn id="7" xr3:uid="{00000000-0010-0000-0000-000007000000}" name="Coding Time"/>
    <tableColumn id="8" xr3:uid="{00000000-0010-0000-0000-000008000000}" name="Non-Coding Time"/>
    <tableColumn id="9" xr3:uid="{00000000-0010-0000-0000-000009000000}" name="Sub-issues progress"/>
  </tableColumns>
  <tableStyleInfo name="M1 - M1 Project Estim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2_Effort_Estimation" displayName="M2_Effort_Estimation" ref="A21:I48">
  <tableColumns count="9">
    <tableColumn id="1" xr3:uid="{00000000-0010-0000-0100-000001000000}" name="Title"/>
    <tableColumn id="2" xr3:uid="{00000000-0010-0000-0100-000002000000}" name="URL"/>
    <tableColumn id="3" xr3:uid="{00000000-0010-0000-0100-000003000000}" name="Assignees"/>
    <tableColumn id="4" xr3:uid="{00000000-0010-0000-0100-000004000000}" name="Status"/>
    <tableColumn id="5" xr3:uid="{00000000-0010-0000-0100-000005000000}" name="Linked pull requests"/>
    <tableColumn id="6" xr3:uid="{00000000-0010-0000-0100-000006000000}" name="Sub-issues progress"/>
    <tableColumn id="7" xr3:uid="{00000000-0010-0000-0100-000007000000}" name="Time Estimate"/>
    <tableColumn id="8" xr3:uid="{00000000-0010-0000-0100-000008000000}" name="Coding Time"/>
    <tableColumn id="9" xr3:uid="{00000000-0010-0000-0100-000009000000}" name="Non-coding Time"/>
  </tableColumns>
  <tableStyleInfo name="M1 - M1 Project Estim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3_Effort_Estimation" displayName="M3_Effort_Estimation" ref="A51:I89">
  <tableColumns count="9">
    <tableColumn id="1" xr3:uid="{00000000-0010-0000-0200-000001000000}" name="Title"/>
    <tableColumn id="2" xr3:uid="{00000000-0010-0000-0200-000002000000}" name="URL"/>
    <tableColumn id="3" xr3:uid="{00000000-0010-0000-0200-000003000000}" name="Assignees"/>
    <tableColumn id="4" xr3:uid="{00000000-0010-0000-0200-000004000000}" name="Status"/>
    <tableColumn id="5" xr3:uid="{00000000-0010-0000-0200-000005000000}" name="Linked pull requests"/>
    <tableColumn id="6" xr3:uid="{00000000-0010-0000-0200-000006000000}" name="Sub-issues progress"/>
    <tableColumn id="7" xr3:uid="{00000000-0010-0000-0200-000007000000}" name="Time Estimate"/>
    <tableColumn id="8" xr3:uid="{00000000-0010-0000-0200-000008000000}" name="Coding Time"/>
    <tableColumn id="9" xr3:uid="{00000000-0010-0000-0200-000009000000}" name="Non-Coding Time"/>
  </tableColumns>
  <tableStyleInfo name="M1 - M1 Project Estim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1_Effort_Estimation_4" displayName="M1_Effort_Estimation_4" ref="A1:I4">
  <tableColumns count="9">
    <tableColumn id="1" xr3:uid="{00000000-0010-0000-0300-000001000000}" name="Title"/>
    <tableColumn id="2" xr3:uid="{00000000-0010-0000-0300-000002000000}" name="URL"/>
    <tableColumn id="3" xr3:uid="{00000000-0010-0000-0300-000003000000}" name="Assignees"/>
    <tableColumn id="4" xr3:uid="{00000000-0010-0000-0300-000004000000}" name="Status"/>
    <tableColumn id="5" xr3:uid="{00000000-0010-0000-0300-000005000000}" name="Linked pull requests"/>
    <tableColumn id="6" xr3:uid="{00000000-0010-0000-0300-000006000000}" name="Time Estimate"/>
    <tableColumn id="7" xr3:uid="{00000000-0010-0000-0300-000007000000}" name="Coding Time"/>
    <tableColumn id="8" xr3:uid="{00000000-0010-0000-0300-000008000000}" name="Non-Coding Time"/>
    <tableColumn id="9" xr3:uid="{00000000-0010-0000-0300-000009000000}" name="Sub-issues progress"/>
  </tableColumns>
  <tableStyleInfo name="Charl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um" displayName="Sum" ref="K1:M2">
  <tableColumns count="3">
    <tableColumn id="1" xr3:uid="{00000000-0010-0000-0400-000001000000}" name="Time Estimate"/>
    <tableColumn id="2" xr3:uid="{00000000-0010-0000-0400-000002000000}" name="Coding Time"/>
    <tableColumn id="3" xr3:uid="{00000000-0010-0000-0400-000003000000}" name="Non-Coding Time"/>
  </tableColumns>
  <tableStyleInfo name="Charle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2_Effort_Estimation_4" displayName="M2_Effort_Estimation_4" ref="A7:I10">
  <tableColumns count="9">
    <tableColumn id="1" xr3:uid="{00000000-0010-0000-0500-000001000000}" name="Title"/>
    <tableColumn id="2" xr3:uid="{00000000-0010-0000-0500-000002000000}" name="URL"/>
    <tableColumn id="3" xr3:uid="{00000000-0010-0000-0500-000003000000}" name="Assignees"/>
    <tableColumn id="4" xr3:uid="{00000000-0010-0000-0500-000004000000}" name="Status"/>
    <tableColumn id="5" xr3:uid="{00000000-0010-0000-0500-000005000000}" name="Linked pull requests"/>
    <tableColumn id="6" xr3:uid="{00000000-0010-0000-0500-000006000000}" name="Sub-issues progress"/>
    <tableColumn id="7" xr3:uid="{00000000-0010-0000-0500-000007000000}" name="Time Estimate"/>
    <tableColumn id="8" xr3:uid="{00000000-0010-0000-0500-000008000000}" name="Coding Time"/>
    <tableColumn id="9" xr3:uid="{00000000-0010-0000-0500-000009000000}" name="Non-coding Time"/>
  </tableColumns>
  <tableStyleInfo name="Charle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3_Effort_Estimation_4" displayName="M3_Effort_Estimation_4" ref="A13:I16">
  <tableColumns count="9">
    <tableColumn id="1" xr3:uid="{00000000-0010-0000-0600-000001000000}" name="Title"/>
    <tableColumn id="2" xr3:uid="{00000000-0010-0000-0600-000002000000}" name="URL"/>
    <tableColumn id="3" xr3:uid="{00000000-0010-0000-0600-000003000000}" name="Assignees"/>
    <tableColumn id="4" xr3:uid="{00000000-0010-0000-0600-000004000000}" name="Status"/>
    <tableColumn id="5" xr3:uid="{00000000-0010-0000-0600-000005000000}" name="Linked pull requests"/>
    <tableColumn id="6" xr3:uid="{00000000-0010-0000-0600-000006000000}" name="Sub-issues progress"/>
    <tableColumn id="7" xr3:uid="{00000000-0010-0000-0600-000007000000}" name="Time Estimate"/>
    <tableColumn id="8" xr3:uid="{00000000-0010-0000-0600-000008000000}" name="Coding Time"/>
    <tableColumn id="9" xr3:uid="{00000000-0010-0000-0600-000009000000}" name="Non-Coding Time"/>
  </tableColumns>
  <tableStyleInfo name="Charle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1_Effort_Estimation_3" displayName="M1_Effort_Estimation_3" ref="A1:H5">
  <tableColumns count="8">
    <tableColumn id="1" xr3:uid="{00000000-0010-0000-0700-000001000000}" name="Title"/>
    <tableColumn id="2" xr3:uid="{00000000-0010-0000-0700-000002000000}" name="URL"/>
    <tableColumn id="3" xr3:uid="{00000000-0010-0000-0700-000003000000}" name="Assignees"/>
    <tableColumn id="4" xr3:uid="{00000000-0010-0000-0700-000004000000}" name="Status"/>
    <tableColumn id="5" xr3:uid="{00000000-0010-0000-0700-000005000000}" name="Linked pull requests"/>
    <tableColumn id="6" xr3:uid="{00000000-0010-0000-0700-000006000000}" name="Time Estimate"/>
    <tableColumn id="7" xr3:uid="{00000000-0010-0000-0700-000007000000}" name="Coding Time"/>
    <tableColumn id="8" xr3:uid="{00000000-0010-0000-0700-000008000000}" name="Non-Coding Time"/>
  </tableColumns>
  <tableStyleInfo name="Kate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Kate" displayName="Kate" ref="J1:L2">
  <tableColumns count="3">
    <tableColumn id="1" xr3:uid="{00000000-0010-0000-0800-000001000000}" name="Time Estimate"/>
    <tableColumn id="2" xr3:uid="{00000000-0010-0000-0800-000002000000}" name="Coding Time"/>
    <tableColumn id="3" xr3:uid="{00000000-0010-0000-0800-000003000000}" name="Non-Coding Time"/>
  </tableColumns>
  <tableStyleInfo name="Kate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2_Effort_Estimation_3" displayName="M2_Effort_Estimation_3" ref="A8:H14">
  <tableColumns count="8">
    <tableColumn id="1" xr3:uid="{00000000-0010-0000-0900-000001000000}" name="Title"/>
    <tableColumn id="2" xr3:uid="{00000000-0010-0000-0900-000002000000}" name="URL"/>
    <tableColumn id="3" xr3:uid="{00000000-0010-0000-0900-000003000000}" name="Assignees"/>
    <tableColumn id="4" xr3:uid="{00000000-0010-0000-0900-000004000000}" name="Status"/>
    <tableColumn id="5" xr3:uid="{00000000-0010-0000-0900-000005000000}" name="Linked pull requests"/>
    <tableColumn id="6" xr3:uid="{00000000-0010-0000-0900-000006000000}" name="Time Estimate"/>
    <tableColumn id="7" xr3:uid="{00000000-0010-0000-0900-000007000000}" name="Coding Time"/>
    <tableColumn id="8" xr3:uid="{00000000-0010-0000-0900-000008000000}" name="Non-coding Time"/>
  </tableColumns>
  <tableStyleInfo name="Kate-style 3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M3_Effort_Estimation_3" displayName="M3_Effort_Estimation_3" ref="A17:H23">
  <tableColumns count="8">
    <tableColumn id="1" xr3:uid="{00000000-0010-0000-0A00-000001000000}" name="Title"/>
    <tableColumn id="2" xr3:uid="{00000000-0010-0000-0A00-000002000000}" name="URL"/>
    <tableColumn id="3" xr3:uid="{00000000-0010-0000-0A00-000003000000}" name="Assignees"/>
    <tableColumn id="4" xr3:uid="{00000000-0010-0000-0A00-000004000000}" name="Status"/>
    <tableColumn id="5" xr3:uid="{00000000-0010-0000-0A00-000005000000}" name="Linked pull requests"/>
    <tableColumn id="6" xr3:uid="{00000000-0010-0000-0A00-000006000000}" name="Time Estimate"/>
    <tableColumn id="7" xr3:uid="{00000000-0010-0000-0A00-000007000000}" name="Coding Time"/>
    <tableColumn id="8" xr3:uid="{00000000-0010-0000-0A00-000008000000}" name="Non-Coding Time"/>
  </tableColumns>
  <tableStyleInfo name="Kate-style 4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M1_Effort_Estimation_2" displayName="M1_Effort_Estimation_2" ref="A1:H5">
  <tableColumns count="8">
    <tableColumn id="1" xr3:uid="{00000000-0010-0000-0B00-000001000000}" name="Title"/>
    <tableColumn id="2" xr3:uid="{00000000-0010-0000-0B00-000002000000}" name="URL"/>
    <tableColumn id="3" xr3:uid="{00000000-0010-0000-0B00-000003000000}" name="Assignees"/>
    <tableColumn id="4" xr3:uid="{00000000-0010-0000-0B00-000004000000}" name="Status"/>
    <tableColumn id="5" xr3:uid="{00000000-0010-0000-0B00-000005000000}" name="Linked pull requests"/>
    <tableColumn id="6" xr3:uid="{00000000-0010-0000-0B00-000006000000}" name="Time Estimate"/>
    <tableColumn id="7" xr3:uid="{00000000-0010-0000-0B00-000007000000}" name="Coding Time"/>
    <tableColumn id="8" xr3:uid="{00000000-0010-0000-0B00-000008000000}" name="Non-Coding Time"/>
  </tableColumns>
  <tableStyleInfo name="Gerric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6" displayName="Table6" ref="J1:L2">
  <tableColumns count="3">
    <tableColumn id="1" xr3:uid="{00000000-0010-0000-0C00-000001000000}" name="Time Estimate"/>
    <tableColumn id="2" xr3:uid="{00000000-0010-0000-0C00-000002000000}" name="Coding Time"/>
    <tableColumn id="3" xr3:uid="{00000000-0010-0000-0C00-000003000000}" name="Non-Coding Time"/>
  </tableColumns>
  <tableStyleInfo name="Gerric-style 2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M2_Effort_Estimation_2" displayName="M2_Effort_Estimation_2" ref="A8:H12">
  <tableColumns count="8">
    <tableColumn id="1" xr3:uid="{00000000-0010-0000-0D00-000001000000}" name="Title"/>
    <tableColumn id="2" xr3:uid="{00000000-0010-0000-0D00-000002000000}" name="URL"/>
    <tableColumn id="3" xr3:uid="{00000000-0010-0000-0D00-000003000000}" name="Assignees"/>
    <tableColumn id="4" xr3:uid="{00000000-0010-0000-0D00-000004000000}" name="Status"/>
    <tableColumn id="5" xr3:uid="{00000000-0010-0000-0D00-000005000000}" name="Linked pull requests"/>
    <tableColumn id="6" xr3:uid="{00000000-0010-0000-0D00-000006000000}" name="Time Estimate"/>
    <tableColumn id="7" xr3:uid="{00000000-0010-0000-0D00-000007000000}" name="Coding Time"/>
    <tableColumn id="8" xr3:uid="{00000000-0010-0000-0D00-000008000000}" name="Non-coding Time"/>
  </tableColumns>
  <tableStyleInfo name="Gerric-style 3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M3_Effort_Estimation_2" displayName="M3_Effort_Estimation_2" ref="A15:H22">
  <tableColumns count="8">
    <tableColumn id="1" xr3:uid="{00000000-0010-0000-0E00-000001000000}" name="Title"/>
    <tableColumn id="2" xr3:uid="{00000000-0010-0000-0E00-000002000000}" name="URL"/>
    <tableColumn id="3" xr3:uid="{00000000-0010-0000-0E00-000003000000}" name="Assignees"/>
    <tableColumn id="4" xr3:uid="{00000000-0010-0000-0E00-000004000000}" name="Status"/>
    <tableColumn id="5" xr3:uid="{00000000-0010-0000-0E00-000005000000}" name="Linked pull requests"/>
    <tableColumn id="6" xr3:uid="{00000000-0010-0000-0E00-000006000000}" name="Time Estimate"/>
    <tableColumn id="7" xr3:uid="{00000000-0010-0000-0E00-000007000000}" name="Coding Time"/>
    <tableColumn id="8" xr3:uid="{00000000-0010-0000-0E00-000008000000}" name="Non-Coding Time"/>
  </tableColumns>
  <tableStyleInfo name="Gerric-style 4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M1_Ethan" displayName="M1_Ethan" ref="A1:H5">
  <tableColumns count="8">
    <tableColumn id="1" xr3:uid="{00000000-0010-0000-0F00-000001000000}" name="Title"/>
    <tableColumn id="2" xr3:uid="{00000000-0010-0000-0F00-000002000000}" name="URL"/>
    <tableColumn id="3" xr3:uid="{00000000-0010-0000-0F00-000003000000}" name="Assignees"/>
    <tableColumn id="4" xr3:uid="{00000000-0010-0000-0F00-000004000000}" name="Status"/>
    <tableColumn id="5" xr3:uid="{00000000-0010-0000-0F00-000005000000}" name="Linked pull requests"/>
    <tableColumn id="6" xr3:uid="{00000000-0010-0000-0F00-000006000000}" name="Time Estimate"/>
    <tableColumn id="7" xr3:uid="{00000000-0010-0000-0F00-000007000000}" name="Coding Time"/>
    <tableColumn id="8" xr3:uid="{00000000-0010-0000-0F00-000008000000}" name="Non-Coding Time"/>
  </tableColumns>
  <tableStyleInfo name="Ethan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5" displayName="Table5" ref="J1:L1" headerRowCount="0">
  <tableColumns count="3">
    <tableColumn id="1" xr3:uid="{00000000-0010-0000-1000-000001000000}" name="Column1"/>
    <tableColumn id="2" xr3:uid="{00000000-0010-0000-1000-000002000000}" name="Column2"/>
    <tableColumn id="3" xr3:uid="{00000000-0010-0000-1000-000003000000}" name="Column3"/>
  </tableColumns>
  <tableStyleInfo name="Ethan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M2_Ethan" displayName="M2_Ethan" ref="A8:H18">
  <tableColumns count="8">
    <tableColumn id="1" xr3:uid="{00000000-0010-0000-1100-000001000000}" name="Title"/>
    <tableColumn id="2" xr3:uid="{00000000-0010-0000-1100-000002000000}" name="URL"/>
    <tableColumn id="3" xr3:uid="{00000000-0010-0000-1100-000003000000}" name="Assignees"/>
    <tableColumn id="4" xr3:uid="{00000000-0010-0000-1100-000004000000}" name="Status"/>
    <tableColumn id="5" xr3:uid="{00000000-0010-0000-1100-000005000000}" name="Linked pull requests"/>
    <tableColumn id="6" xr3:uid="{00000000-0010-0000-1100-000006000000}" name="Time Estimate"/>
    <tableColumn id="7" xr3:uid="{00000000-0010-0000-1100-000007000000}" name="Coding Time"/>
    <tableColumn id="8" xr3:uid="{00000000-0010-0000-1100-000008000000}" name="Non-coding Time"/>
  </tableColumns>
  <tableStyleInfo name="Ethan-style 3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M3_Ethan" displayName="M3_Ethan" ref="A20:H30">
  <tableColumns count="8">
    <tableColumn id="1" xr3:uid="{00000000-0010-0000-1200-000001000000}" name="Title"/>
    <tableColumn id="2" xr3:uid="{00000000-0010-0000-1200-000002000000}" name="URL"/>
    <tableColumn id="3" xr3:uid="{00000000-0010-0000-1200-000003000000}" name="Assignees"/>
    <tableColumn id="4" xr3:uid="{00000000-0010-0000-1200-000004000000}" name="Status"/>
    <tableColumn id="5" xr3:uid="{00000000-0010-0000-1200-000005000000}" name="Linked pull requests"/>
    <tableColumn id="6" xr3:uid="{00000000-0010-0000-1200-000006000000}" name="Time Estimate"/>
    <tableColumn id="7" xr3:uid="{00000000-0010-0000-1200-000007000000}" name="Coding Time"/>
    <tableColumn id="8" xr3:uid="{00000000-0010-0000-1200-000008000000}" name="Non-Coding Time"/>
  </tableColumns>
  <tableStyleInfo name="Ethan-style 4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M1_Effort_TJ" displayName="M1_Effort_TJ" ref="A1:H3">
  <tableColumns count="8">
    <tableColumn id="1" xr3:uid="{00000000-0010-0000-1300-000001000000}" name="Title"/>
    <tableColumn id="2" xr3:uid="{00000000-0010-0000-1300-000002000000}" name="URL"/>
    <tableColumn id="3" xr3:uid="{00000000-0010-0000-1300-000003000000}" name="Assignees"/>
    <tableColumn id="4" xr3:uid="{00000000-0010-0000-1300-000004000000}" name="Status"/>
    <tableColumn id="5" xr3:uid="{00000000-0010-0000-1300-000005000000}" name="Linked pull requests"/>
    <tableColumn id="6" xr3:uid="{00000000-0010-0000-1300-000006000000}" name="Time Estimate"/>
    <tableColumn id="7" xr3:uid="{00000000-0010-0000-1300-000007000000}" name="Coding Time"/>
    <tableColumn id="8" xr3:uid="{00000000-0010-0000-1300-000008000000}" name="Non-Coding Time"/>
  </tableColumns>
  <tableStyleInfo name="TJ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" displayName="Table2" ref="J1:L2">
  <tableColumns count="3">
    <tableColumn id="1" xr3:uid="{00000000-0010-0000-1400-000001000000}" name="Time Estimate"/>
    <tableColumn id="2" xr3:uid="{00000000-0010-0000-1400-000002000000}" name="Coding Time"/>
    <tableColumn id="3" xr3:uid="{00000000-0010-0000-1400-000003000000}" name="Non-Coding Time"/>
  </tableColumns>
  <tableStyleInfo name="TJ-style 2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M2_EffortTJ" displayName="M2_EffortTJ" ref="A6:H10">
  <tableColumns count="8">
    <tableColumn id="1" xr3:uid="{00000000-0010-0000-1500-000001000000}" name="Title"/>
    <tableColumn id="2" xr3:uid="{00000000-0010-0000-1500-000002000000}" name="URL"/>
    <tableColumn id="3" xr3:uid="{00000000-0010-0000-1500-000003000000}" name="Assignees"/>
    <tableColumn id="4" xr3:uid="{00000000-0010-0000-1500-000004000000}" name="Status"/>
    <tableColumn id="5" xr3:uid="{00000000-0010-0000-1500-000005000000}" name="Linked pull requests"/>
    <tableColumn id="6" xr3:uid="{00000000-0010-0000-1500-000006000000}" name="Time Estimate"/>
    <tableColumn id="7" xr3:uid="{00000000-0010-0000-1500-000007000000}" name="Coding Time"/>
    <tableColumn id="8" xr3:uid="{00000000-0010-0000-1500-000008000000}" name="Non-coding Time"/>
  </tableColumns>
  <tableStyleInfo name="TJ-style 3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M3_Effort_TJ" displayName="M3_Effort_TJ" ref="A13:H25">
  <tableColumns count="8">
    <tableColumn id="1" xr3:uid="{00000000-0010-0000-1600-000001000000}" name="Title"/>
    <tableColumn id="2" xr3:uid="{00000000-0010-0000-1600-000002000000}" name="URL"/>
    <tableColumn id="3" xr3:uid="{00000000-0010-0000-1600-000003000000}" name="Assignees"/>
    <tableColumn id="4" xr3:uid="{00000000-0010-0000-1600-000004000000}" name="Status"/>
    <tableColumn id="5" xr3:uid="{00000000-0010-0000-1600-000005000000}" name="Linked pull requests"/>
    <tableColumn id="6" xr3:uid="{00000000-0010-0000-1600-000006000000}" name="Time Estimate"/>
    <tableColumn id="7" xr3:uid="{00000000-0010-0000-1600-000007000000}" name="Coding Time"/>
    <tableColumn id="8" xr3:uid="{00000000-0010-0000-1600-000008000000}" name="Non-Coding Time"/>
  </tableColumns>
  <tableStyleInfo name="TJ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RI-Bows/RIBows/pull/143" TargetMode="External"/><Relationship Id="rId21" Type="http://schemas.openxmlformats.org/officeDocument/2006/relationships/hyperlink" Target="https://github.com/RI-Bows/RIBows/pull/24" TargetMode="External"/><Relationship Id="rId42" Type="http://schemas.openxmlformats.org/officeDocument/2006/relationships/hyperlink" Target="https://github.com/RI-Bows/RIBows/issues/69" TargetMode="External"/><Relationship Id="rId63" Type="http://schemas.openxmlformats.org/officeDocument/2006/relationships/hyperlink" Target="https://github.com/RI-Bows/RIBows/pull/64" TargetMode="External"/><Relationship Id="rId84" Type="http://schemas.openxmlformats.org/officeDocument/2006/relationships/hyperlink" Target="https://github.com/RI-Bows/RIBows/issues/192" TargetMode="External"/><Relationship Id="rId138" Type="http://schemas.openxmlformats.org/officeDocument/2006/relationships/hyperlink" Target="https://github.com/RI-Bows/RIBows/issues/164" TargetMode="External"/><Relationship Id="rId107" Type="http://schemas.openxmlformats.org/officeDocument/2006/relationships/hyperlink" Target="https://github.com/RI-Bows/RIBows/pull/172" TargetMode="External"/><Relationship Id="rId11" Type="http://schemas.openxmlformats.org/officeDocument/2006/relationships/hyperlink" Target="https://github.com/RI-Bows/RIBows/issues/18" TargetMode="External"/><Relationship Id="rId32" Type="http://schemas.openxmlformats.org/officeDocument/2006/relationships/hyperlink" Target="https://github.com/RI-Bows/RIBows/issues/54" TargetMode="External"/><Relationship Id="rId53" Type="http://schemas.openxmlformats.org/officeDocument/2006/relationships/hyperlink" Target="https://github.com/RI-Bows/RIBows/pull/72" TargetMode="External"/><Relationship Id="rId74" Type="http://schemas.openxmlformats.org/officeDocument/2006/relationships/hyperlink" Target="https://github.com/RI-Bows/RIBows/pull/73" TargetMode="External"/><Relationship Id="rId128" Type="http://schemas.openxmlformats.org/officeDocument/2006/relationships/hyperlink" Target="https://github.com/RI-Bows/RIBows/issues/142" TargetMode="External"/><Relationship Id="rId149" Type="http://schemas.openxmlformats.org/officeDocument/2006/relationships/hyperlink" Target="https://github.com/RI-Bows/RIBows/pull/166" TargetMode="External"/><Relationship Id="rId5" Type="http://schemas.openxmlformats.org/officeDocument/2006/relationships/hyperlink" Target="https://github.com/RI-Bows/RIBows/issues/4" TargetMode="External"/><Relationship Id="rId95" Type="http://schemas.openxmlformats.org/officeDocument/2006/relationships/hyperlink" Target="https://github.com/RI-Bows/RIBows/pull/169" TargetMode="External"/><Relationship Id="rId22" Type="http://schemas.openxmlformats.org/officeDocument/2006/relationships/hyperlink" Target="https://github.com/RI-Bows/RIBows/issues/20" TargetMode="External"/><Relationship Id="rId27" Type="http://schemas.openxmlformats.org/officeDocument/2006/relationships/hyperlink" Target="https://github.com/RI-Bows/RIBows/issues/36" TargetMode="External"/><Relationship Id="rId43" Type="http://schemas.openxmlformats.org/officeDocument/2006/relationships/hyperlink" Target="https://github.com/RI-Bows/RIBows/pull/84" TargetMode="External"/><Relationship Id="rId48" Type="http://schemas.openxmlformats.org/officeDocument/2006/relationships/hyperlink" Target="https://github.com/RI-Bows/RIBows/issues/78" TargetMode="External"/><Relationship Id="rId64" Type="http://schemas.openxmlformats.org/officeDocument/2006/relationships/hyperlink" Target="https://github.com/RI-Bows/RIBows/issues/42" TargetMode="External"/><Relationship Id="rId69" Type="http://schemas.openxmlformats.org/officeDocument/2006/relationships/hyperlink" Target="https://github.com/RI-Bows/RIBows/issues/98" TargetMode="External"/><Relationship Id="rId113" Type="http://schemas.openxmlformats.org/officeDocument/2006/relationships/hyperlink" Target="https://github.com/RI-Bows/RIBows/pull/124" TargetMode="External"/><Relationship Id="rId118" Type="http://schemas.openxmlformats.org/officeDocument/2006/relationships/hyperlink" Target="https://github.com/RI-Bows/RIBows/issues/110" TargetMode="External"/><Relationship Id="rId134" Type="http://schemas.openxmlformats.org/officeDocument/2006/relationships/hyperlink" Target="https://github.com/RI-Bows/RIBows/issues/177" TargetMode="External"/><Relationship Id="rId139" Type="http://schemas.openxmlformats.org/officeDocument/2006/relationships/hyperlink" Target="https://github.com/RI-Bows/RIBows/pull/170" TargetMode="External"/><Relationship Id="rId80" Type="http://schemas.openxmlformats.org/officeDocument/2006/relationships/hyperlink" Target="https://github.com/RI-Bows/RIBows/issues/114" TargetMode="External"/><Relationship Id="rId85" Type="http://schemas.openxmlformats.org/officeDocument/2006/relationships/hyperlink" Target="https://github.com/RI-Bows/RIBows/pull/193" TargetMode="External"/><Relationship Id="rId150" Type="http://schemas.openxmlformats.org/officeDocument/2006/relationships/hyperlink" Target="https://github.com/RI-Bows/RIBows/issues/144" TargetMode="External"/><Relationship Id="rId12" Type="http://schemas.openxmlformats.org/officeDocument/2006/relationships/hyperlink" Target="https://github.com/RI-Bows/RIBows/pull/41" TargetMode="External"/><Relationship Id="rId17" Type="http://schemas.openxmlformats.org/officeDocument/2006/relationships/hyperlink" Target="https://github.com/RI-Bows/RIBows/issues/17" TargetMode="External"/><Relationship Id="rId33" Type="http://schemas.openxmlformats.org/officeDocument/2006/relationships/hyperlink" Target="https://github.com/RI-Bows/RIBows/pull/63" TargetMode="External"/><Relationship Id="rId38" Type="http://schemas.openxmlformats.org/officeDocument/2006/relationships/hyperlink" Target="https://github.com/RI-Bows/RIBows/issues/107" TargetMode="External"/><Relationship Id="rId59" Type="http://schemas.openxmlformats.org/officeDocument/2006/relationships/hyperlink" Target="https://github.com/RI-Bows/RIBows/issues/75" TargetMode="External"/><Relationship Id="rId103" Type="http://schemas.openxmlformats.org/officeDocument/2006/relationships/hyperlink" Target="https://github.com/RI-Bows/RIBows/pull/152" TargetMode="External"/><Relationship Id="rId108" Type="http://schemas.openxmlformats.org/officeDocument/2006/relationships/hyperlink" Target="https://github.com/RI-Bows/RIBows/issues/187" TargetMode="External"/><Relationship Id="rId124" Type="http://schemas.openxmlformats.org/officeDocument/2006/relationships/hyperlink" Target="https://github.com/RI-Bows/RIBows/issues/133" TargetMode="External"/><Relationship Id="rId129" Type="http://schemas.openxmlformats.org/officeDocument/2006/relationships/hyperlink" Target="https://github.com/RI-Bows/RIBows/pull/158" TargetMode="External"/><Relationship Id="rId54" Type="http://schemas.openxmlformats.org/officeDocument/2006/relationships/hyperlink" Target="https://github.com/RI-Bows/RIBows/issues/57" TargetMode="External"/><Relationship Id="rId70" Type="http://schemas.openxmlformats.org/officeDocument/2006/relationships/hyperlink" Target="https://github.com/RI-Bows/ri-bows.github.io/pull/19" TargetMode="External"/><Relationship Id="rId75" Type="http://schemas.openxmlformats.org/officeDocument/2006/relationships/hyperlink" Target="https://github.com/RI-Bows/RIBows/issues/81" TargetMode="External"/><Relationship Id="rId91" Type="http://schemas.openxmlformats.org/officeDocument/2006/relationships/hyperlink" Target="https://github.com/RI-Bows/RIBows/pull/195" TargetMode="External"/><Relationship Id="rId96" Type="http://schemas.openxmlformats.org/officeDocument/2006/relationships/hyperlink" Target="https://github.com/RI-Bows/RIBows/issues/138" TargetMode="External"/><Relationship Id="rId140" Type="http://schemas.openxmlformats.org/officeDocument/2006/relationships/hyperlink" Target="https://github.com/RI-Bows/RIBows/issues/121" TargetMode="External"/><Relationship Id="rId145" Type="http://schemas.openxmlformats.org/officeDocument/2006/relationships/hyperlink" Target="https://github.com/RI-Bows/RIBows/pull/161" TargetMode="External"/><Relationship Id="rId1" Type="http://schemas.openxmlformats.org/officeDocument/2006/relationships/hyperlink" Target="https://github.com/RI-Bows/RIBows/issues/3" TargetMode="External"/><Relationship Id="rId6" Type="http://schemas.openxmlformats.org/officeDocument/2006/relationships/hyperlink" Target="https://github.com/RI-Bows/RIBows/pull/34" TargetMode="External"/><Relationship Id="rId23" Type="http://schemas.openxmlformats.org/officeDocument/2006/relationships/hyperlink" Target="https://github.com/RI-Bows/RIBows/pull/21" TargetMode="External"/><Relationship Id="rId28" Type="http://schemas.openxmlformats.org/officeDocument/2006/relationships/hyperlink" Target="https://github.com/RI-Bows/RIBows/pull/45" TargetMode="External"/><Relationship Id="rId49" Type="http://schemas.openxmlformats.org/officeDocument/2006/relationships/hyperlink" Target="https://github.com/RI-Bows/RIBows/pull/79" TargetMode="External"/><Relationship Id="rId114" Type="http://schemas.openxmlformats.org/officeDocument/2006/relationships/hyperlink" Target="https://github.com/RI-Bows/RIBows/issues/182" TargetMode="External"/><Relationship Id="rId119" Type="http://schemas.openxmlformats.org/officeDocument/2006/relationships/hyperlink" Target="https://github.com/RI-Bows/RIBows/pull/130" TargetMode="External"/><Relationship Id="rId44" Type="http://schemas.openxmlformats.org/officeDocument/2006/relationships/hyperlink" Target="https://github.com/RI-Bows/RIBows/issues/82" TargetMode="External"/><Relationship Id="rId60" Type="http://schemas.openxmlformats.org/officeDocument/2006/relationships/hyperlink" Target="https://github.com/RI-Bows/RIBows/pull/105" TargetMode="External"/><Relationship Id="rId65" Type="http://schemas.openxmlformats.org/officeDocument/2006/relationships/hyperlink" Target="https://github.com/RI-Bows/RIBows/issues/65" TargetMode="External"/><Relationship Id="rId81" Type="http://schemas.openxmlformats.org/officeDocument/2006/relationships/hyperlink" Target="https://github.com/RI-Bows/RIBows/pull/160" TargetMode="External"/><Relationship Id="rId86" Type="http://schemas.openxmlformats.org/officeDocument/2006/relationships/hyperlink" Target="https://github.com/RI-Bows/RIBows/issues/120" TargetMode="External"/><Relationship Id="rId130" Type="http://schemas.openxmlformats.org/officeDocument/2006/relationships/hyperlink" Target="https://github.com/RI-Bows/RIBows/issues/151" TargetMode="External"/><Relationship Id="rId135" Type="http://schemas.openxmlformats.org/officeDocument/2006/relationships/hyperlink" Target="https://github.com/RI-Bows/RIBows/pull/180" TargetMode="External"/><Relationship Id="rId151" Type="http://schemas.openxmlformats.org/officeDocument/2006/relationships/hyperlink" Target="https://github.com/RI-Bows/RIBows/pull/162" TargetMode="External"/><Relationship Id="rId13" Type="http://schemas.openxmlformats.org/officeDocument/2006/relationships/hyperlink" Target="https://github.com/RI-Bows/RIBows/issues/25" TargetMode="External"/><Relationship Id="rId18" Type="http://schemas.openxmlformats.org/officeDocument/2006/relationships/hyperlink" Target="https://github.com/RI-Bows/RIBows/issues/16" TargetMode="External"/><Relationship Id="rId39" Type="http://schemas.openxmlformats.org/officeDocument/2006/relationships/hyperlink" Target="https://github.com/RI-Bows/RIBows/pull/108" TargetMode="External"/><Relationship Id="rId109" Type="http://schemas.openxmlformats.org/officeDocument/2006/relationships/hyperlink" Target="https://github.com/RI-Bows/RIBows/pull/188" TargetMode="External"/><Relationship Id="rId34" Type="http://schemas.openxmlformats.org/officeDocument/2006/relationships/hyperlink" Target="https://github.com/RI-Bows/RIBows/issues/68" TargetMode="External"/><Relationship Id="rId50" Type="http://schemas.openxmlformats.org/officeDocument/2006/relationships/hyperlink" Target="https://github.com/RI-Bows/RIBows/issues/61" TargetMode="External"/><Relationship Id="rId55" Type="http://schemas.openxmlformats.org/officeDocument/2006/relationships/hyperlink" Target="https://github.com/RI-Bows/RIBows/pull/85" TargetMode="External"/><Relationship Id="rId76" Type="http://schemas.openxmlformats.org/officeDocument/2006/relationships/hyperlink" Target="https://github.com/RI-Bows/RIBows/issues/55" TargetMode="External"/><Relationship Id="rId97" Type="http://schemas.openxmlformats.org/officeDocument/2006/relationships/hyperlink" Target="https://github.com/RI-Bows/RIBows/pull/145" TargetMode="External"/><Relationship Id="rId104" Type="http://schemas.openxmlformats.org/officeDocument/2006/relationships/hyperlink" Target="https://github.com/RI-Bows/RIBows/issues/148" TargetMode="External"/><Relationship Id="rId120" Type="http://schemas.openxmlformats.org/officeDocument/2006/relationships/hyperlink" Target="https://github.com/RI-Bows/RIBows/issues/67" TargetMode="External"/><Relationship Id="rId125" Type="http://schemas.openxmlformats.org/officeDocument/2006/relationships/hyperlink" Target="https://github.com/RI-Bows/ri-bows.github.io/pull/20" TargetMode="External"/><Relationship Id="rId141" Type="http://schemas.openxmlformats.org/officeDocument/2006/relationships/hyperlink" Target="https://github.com/RI-Bows/RIBows/pull/129" TargetMode="External"/><Relationship Id="rId146" Type="http://schemas.openxmlformats.org/officeDocument/2006/relationships/hyperlink" Target="https://github.com/RI-Bows/RIBows/issues/186" TargetMode="External"/><Relationship Id="rId7" Type="http://schemas.openxmlformats.org/officeDocument/2006/relationships/hyperlink" Target="https://github.com/RI-Bows/RIBows/issues/5" TargetMode="External"/><Relationship Id="rId71" Type="http://schemas.openxmlformats.org/officeDocument/2006/relationships/hyperlink" Target="https://github.com/RI-Bows/RIBows/issues/99" TargetMode="External"/><Relationship Id="rId92" Type="http://schemas.openxmlformats.org/officeDocument/2006/relationships/hyperlink" Target="https://github.com/RI-Bows/RIBows/issues/154" TargetMode="External"/><Relationship Id="rId2" Type="http://schemas.openxmlformats.org/officeDocument/2006/relationships/hyperlink" Target="https://github.com/RI-Bows/RIBows/pull/22" TargetMode="External"/><Relationship Id="rId29" Type="http://schemas.openxmlformats.org/officeDocument/2006/relationships/hyperlink" Target="https://github.com/RI-Bows/RIBows/issues/48" TargetMode="External"/><Relationship Id="rId24" Type="http://schemas.openxmlformats.org/officeDocument/2006/relationships/hyperlink" Target="https://github.com/RI-Bows/RIBows/issues/32" TargetMode="External"/><Relationship Id="rId40" Type="http://schemas.openxmlformats.org/officeDocument/2006/relationships/hyperlink" Target="https://github.com/RI-Bows/RIBows/issues/50" TargetMode="External"/><Relationship Id="rId45" Type="http://schemas.openxmlformats.org/officeDocument/2006/relationships/hyperlink" Target="https://github.com/RI-Bows/RIBows/pull/83" TargetMode="External"/><Relationship Id="rId66" Type="http://schemas.openxmlformats.org/officeDocument/2006/relationships/hyperlink" Target="https://github.com/RI-Bows/RIBows/pull/66" TargetMode="External"/><Relationship Id="rId87" Type="http://schemas.openxmlformats.org/officeDocument/2006/relationships/hyperlink" Target="https://github.com/RI-Bows/RIBows/pull/123" TargetMode="External"/><Relationship Id="rId110" Type="http://schemas.openxmlformats.org/officeDocument/2006/relationships/hyperlink" Target="https://github.com/RI-Bows/RIBows/issues/174" TargetMode="External"/><Relationship Id="rId115" Type="http://schemas.openxmlformats.org/officeDocument/2006/relationships/hyperlink" Target="https://github.com/RI-Bows/RIBows/pull/183" TargetMode="External"/><Relationship Id="rId131" Type="http://schemas.openxmlformats.org/officeDocument/2006/relationships/hyperlink" Target="https://github.com/RI-Bows/RIBows/issues/196" TargetMode="External"/><Relationship Id="rId136" Type="http://schemas.openxmlformats.org/officeDocument/2006/relationships/hyperlink" Target="https://github.com/RI-Bows/RIBows/issues/171" TargetMode="External"/><Relationship Id="rId61" Type="http://schemas.openxmlformats.org/officeDocument/2006/relationships/hyperlink" Target="https://github.com/RI-Bows/RIBows/issues/101" TargetMode="External"/><Relationship Id="rId82" Type="http://schemas.openxmlformats.org/officeDocument/2006/relationships/hyperlink" Target="https://github.com/RI-Bows/RIBows/issues/140" TargetMode="External"/><Relationship Id="rId152" Type="http://schemas.openxmlformats.org/officeDocument/2006/relationships/table" Target="../tables/table1.xml"/><Relationship Id="rId19" Type="http://schemas.openxmlformats.org/officeDocument/2006/relationships/hyperlink" Target="https://github.com/RI-Bows/RIBows/pull/40" TargetMode="External"/><Relationship Id="rId14" Type="http://schemas.openxmlformats.org/officeDocument/2006/relationships/hyperlink" Target="https://github.com/RI-Bows/RIBows/pull/26" TargetMode="External"/><Relationship Id="rId30" Type="http://schemas.openxmlformats.org/officeDocument/2006/relationships/hyperlink" Target="https://github.com/RI-Bows/RIBows/issues/31" TargetMode="External"/><Relationship Id="rId35" Type="http://schemas.openxmlformats.org/officeDocument/2006/relationships/hyperlink" Target="https://github.com/RI-Bows/RIBows/pull/93" TargetMode="External"/><Relationship Id="rId56" Type="http://schemas.openxmlformats.org/officeDocument/2006/relationships/hyperlink" Target="https://github.com/RI-Bows/RIBows/issues/111" TargetMode="External"/><Relationship Id="rId77" Type="http://schemas.openxmlformats.org/officeDocument/2006/relationships/hyperlink" Target="https://github.com/RI-Bows/RIBows/pull/73" TargetMode="External"/><Relationship Id="rId100" Type="http://schemas.openxmlformats.org/officeDocument/2006/relationships/hyperlink" Target="https://github.com/RI-Bows/RIBows/issues/116" TargetMode="External"/><Relationship Id="rId105" Type="http://schemas.openxmlformats.org/officeDocument/2006/relationships/hyperlink" Target="https://github.com/RI-Bows/RIBows/pull/152" TargetMode="External"/><Relationship Id="rId126" Type="http://schemas.openxmlformats.org/officeDocument/2006/relationships/hyperlink" Target="https://github.com/RI-Bows/RIBows/issues/135" TargetMode="External"/><Relationship Id="rId147" Type="http://schemas.openxmlformats.org/officeDocument/2006/relationships/hyperlink" Target="https://github.com/RI-Bows/RIBows/pull/190" TargetMode="External"/><Relationship Id="rId8" Type="http://schemas.openxmlformats.org/officeDocument/2006/relationships/hyperlink" Target="https://github.com/RI-Bows/ri-bows.github.io/pull/16" TargetMode="External"/><Relationship Id="rId51" Type="http://schemas.openxmlformats.org/officeDocument/2006/relationships/hyperlink" Target="https://github.com/RI-Bows/RIBows/pull/70" TargetMode="External"/><Relationship Id="rId72" Type="http://schemas.openxmlformats.org/officeDocument/2006/relationships/hyperlink" Target="https://github.com/RI-Bows/RIBows/pull/100" TargetMode="External"/><Relationship Id="rId93" Type="http://schemas.openxmlformats.org/officeDocument/2006/relationships/hyperlink" Target="https://github.com/RI-Bows/RIBows/pull/194" TargetMode="External"/><Relationship Id="rId98" Type="http://schemas.openxmlformats.org/officeDocument/2006/relationships/hyperlink" Target="https://github.com/RI-Bows/RIBows/issues/153" TargetMode="External"/><Relationship Id="rId121" Type="http://schemas.openxmlformats.org/officeDocument/2006/relationships/hyperlink" Target="https://github.com/RI-Bows/RIBows/issues/115" TargetMode="External"/><Relationship Id="rId142" Type="http://schemas.openxmlformats.org/officeDocument/2006/relationships/hyperlink" Target="https://github.com/RI-Bows/RIBows/issues/119" TargetMode="External"/><Relationship Id="rId3" Type="http://schemas.openxmlformats.org/officeDocument/2006/relationships/hyperlink" Target="https://github.com/RI-Bows/RIBows/issues/6" TargetMode="External"/><Relationship Id="rId25" Type="http://schemas.openxmlformats.org/officeDocument/2006/relationships/hyperlink" Target="https://github.com/RI-Bows/RIBows/pull/33" TargetMode="External"/><Relationship Id="rId46" Type="http://schemas.openxmlformats.org/officeDocument/2006/relationships/hyperlink" Target="https://github.com/RI-Bows/RIBows/issues/46" TargetMode="External"/><Relationship Id="rId67" Type="http://schemas.openxmlformats.org/officeDocument/2006/relationships/hyperlink" Target="https://github.com/RI-Bows/RIBows/issues/96" TargetMode="External"/><Relationship Id="rId116" Type="http://schemas.openxmlformats.org/officeDocument/2006/relationships/hyperlink" Target="https://github.com/RI-Bows/RIBows/issues/141" TargetMode="External"/><Relationship Id="rId137" Type="http://schemas.openxmlformats.org/officeDocument/2006/relationships/hyperlink" Target="https://github.com/RI-Bows/RIBows/pull/173" TargetMode="External"/><Relationship Id="rId20" Type="http://schemas.openxmlformats.org/officeDocument/2006/relationships/hyperlink" Target="https://github.com/RI-Bows/RIBows/issues/2" TargetMode="External"/><Relationship Id="rId41" Type="http://schemas.openxmlformats.org/officeDocument/2006/relationships/hyperlink" Target="https://github.com/RI-Bows/RIBows/pull/106" TargetMode="External"/><Relationship Id="rId62" Type="http://schemas.openxmlformats.org/officeDocument/2006/relationships/hyperlink" Target="https://github.com/RI-Bows/RIBows/issues/14" TargetMode="External"/><Relationship Id="rId83" Type="http://schemas.openxmlformats.org/officeDocument/2006/relationships/hyperlink" Target="https://github.com/RI-Bows/RIBows/pull/167" TargetMode="External"/><Relationship Id="rId88" Type="http://schemas.openxmlformats.org/officeDocument/2006/relationships/hyperlink" Target="https://github.com/RI-Bows/RIBows/issues/155" TargetMode="External"/><Relationship Id="rId111" Type="http://schemas.openxmlformats.org/officeDocument/2006/relationships/hyperlink" Target="https://github.com/RI-Bows/RIBows/pull/181" TargetMode="External"/><Relationship Id="rId132" Type="http://schemas.openxmlformats.org/officeDocument/2006/relationships/hyperlink" Target="https://github.com/RI-Bows/RIBows/pull/197" TargetMode="External"/><Relationship Id="rId153" Type="http://schemas.openxmlformats.org/officeDocument/2006/relationships/table" Target="../tables/table2.xml"/><Relationship Id="rId15" Type="http://schemas.openxmlformats.org/officeDocument/2006/relationships/hyperlink" Target="https://github.com/RI-Bows/RIBows/issues/1" TargetMode="External"/><Relationship Id="rId36" Type="http://schemas.openxmlformats.org/officeDocument/2006/relationships/hyperlink" Target="https://github.com/RI-Bows/RIBows/issues/58" TargetMode="External"/><Relationship Id="rId57" Type="http://schemas.openxmlformats.org/officeDocument/2006/relationships/hyperlink" Target="https://github.com/RI-Bows/RIBows/pull/112" TargetMode="External"/><Relationship Id="rId106" Type="http://schemas.openxmlformats.org/officeDocument/2006/relationships/hyperlink" Target="https://github.com/RI-Bows/RIBows/issues/134" TargetMode="External"/><Relationship Id="rId127" Type="http://schemas.openxmlformats.org/officeDocument/2006/relationships/hyperlink" Target="https://github.com/RI-Bows/RIBows/pull/175" TargetMode="External"/><Relationship Id="rId10" Type="http://schemas.openxmlformats.org/officeDocument/2006/relationships/hyperlink" Target="https://github.com/RI-Bows/RIBows/pull/27" TargetMode="External"/><Relationship Id="rId31" Type="http://schemas.openxmlformats.org/officeDocument/2006/relationships/hyperlink" Target="https://github.com/RI-Bows/RIBows/pull/92" TargetMode="External"/><Relationship Id="rId52" Type="http://schemas.openxmlformats.org/officeDocument/2006/relationships/hyperlink" Target="https://github.com/RI-Bows/RIBows/issues/71" TargetMode="External"/><Relationship Id="rId73" Type="http://schemas.openxmlformats.org/officeDocument/2006/relationships/hyperlink" Target="https://github.com/RI-Bows/ri-bows.github.io/issues/15" TargetMode="External"/><Relationship Id="rId78" Type="http://schemas.openxmlformats.org/officeDocument/2006/relationships/hyperlink" Target="https://github.com/RI-Bows/RIBows/issues/53" TargetMode="External"/><Relationship Id="rId94" Type="http://schemas.openxmlformats.org/officeDocument/2006/relationships/hyperlink" Target="https://github.com/RI-Bows/RIBows/issues/163" TargetMode="External"/><Relationship Id="rId99" Type="http://schemas.openxmlformats.org/officeDocument/2006/relationships/hyperlink" Target="https://github.com/RI-Bows/RIBows/pull/159" TargetMode="External"/><Relationship Id="rId101" Type="http://schemas.openxmlformats.org/officeDocument/2006/relationships/hyperlink" Target="https://github.com/RI-Bows/RIBows/pull/125" TargetMode="External"/><Relationship Id="rId122" Type="http://schemas.openxmlformats.org/officeDocument/2006/relationships/hyperlink" Target="https://github.com/RI-Bows/RIBows/pull/157" TargetMode="External"/><Relationship Id="rId143" Type="http://schemas.openxmlformats.org/officeDocument/2006/relationships/hyperlink" Target="https://github.com/RI-Bows/RIBows/pull/146" TargetMode="External"/><Relationship Id="rId148" Type="http://schemas.openxmlformats.org/officeDocument/2006/relationships/hyperlink" Target="https://github.com/RI-Bows/RIBows/issues/122" TargetMode="External"/><Relationship Id="rId4" Type="http://schemas.openxmlformats.org/officeDocument/2006/relationships/hyperlink" Target="https://github.com/RI-Bows/RIBows/issues/9" TargetMode="External"/><Relationship Id="rId9" Type="http://schemas.openxmlformats.org/officeDocument/2006/relationships/hyperlink" Target="https://github.com/RI-Bows/RIBows/issues/13" TargetMode="External"/><Relationship Id="rId26" Type="http://schemas.openxmlformats.org/officeDocument/2006/relationships/hyperlink" Target="https://github.com/RI-Bows/RIBows/issues/43" TargetMode="External"/><Relationship Id="rId47" Type="http://schemas.openxmlformats.org/officeDocument/2006/relationships/hyperlink" Target="https://github.com/RI-Bows/RIBows/pull/80" TargetMode="External"/><Relationship Id="rId68" Type="http://schemas.openxmlformats.org/officeDocument/2006/relationships/hyperlink" Target="https://github.com/RI-Bows/RIBows/pull/97" TargetMode="External"/><Relationship Id="rId89" Type="http://schemas.openxmlformats.org/officeDocument/2006/relationships/hyperlink" Target="https://github.com/RI-Bows/RIBows/pull/198" TargetMode="External"/><Relationship Id="rId112" Type="http://schemas.openxmlformats.org/officeDocument/2006/relationships/hyperlink" Target="https://github.com/RI-Bows/RIBows/issues/118" TargetMode="External"/><Relationship Id="rId133" Type="http://schemas.openxmlformats.org/officeDocument/2006/relationships/hyperlink" Target="https://github.com/RI-Bows/RIBows/issues/185" TargetMode="External"/><Relationship Id="rId154" Type="http://schemas.openxmlformats.org/officeDocument/2006/relationships/table" Target="../tables/table3.xml"/><Relationship Id="rId16" Type="http://schemas.openxmlformats.org/officeDocument/2006/relationships/hyperlink" Target="https://github.com/RI-Bows/RIBows/pull/39" TargetMode="External"/><Relationship Id="rId37" Type="http://schemas.openxmlformats.org/officeDocument/2006/relationships/hyperlink" Target="https://github.com/RI-Bows/RIBows/pull/59" TargetMode="External"/><Relationship Id="rId58" Type="http://schemas.openxmlformats.org/officeDocument/2006/relationships/hyperlink" Target="https://github.com/RI-Bows/RIBows/issues/37" TargetMode="External"/><Relationship Id="rId79" Type="http://schemas.openxmlformats.org/officeDocument/2006/relationships/hyperlink" Target="https://github.com/RI-Bows/RIBows/pull/56" TargetMode="External"/><Relationship Id="rId102" Type="http://schemas.openxmlformats.org/officeDocument/2006/relationships/hyperlink" Target="https://github.com/RI-Bows/RIBows/issues/150" TargetMode="External"/><Relationship Id="rId123" Type="http://schemas.openxmlformats.org/officeDocument/2006/relationships/hyperlink" Target="https://github.com/RI-Bows/RIBows/issues/132" TargetMode="External"/><Relationship Id="rId144" Type="http://schemas.openxmlformats.org/officeDocument/2006/relationships/hyperlink" Target="https://github.com/RI-Bows/RIBows/issues/137" TargetMode="External"/><Relationship Id="rId90" Type="http://schemas.openxmlformats.org/officeDocument/2006/relationships/hyperlink" Target="https://github.com/RI-Bows/RIBows/issues/15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I-Bows/RIBows/pull/92" TargetMode="External"/><Relationship Id="rId13" Type="http://schemas.openxmlformats.org/officeDocument/2006/relationships/hyperlink" Target="https://github.com/RI-Bows/RIBows/issues/114" TargetMode="External"/><Relationship Id="rId18" Type="http://schemas.openxmlformats.org/officeDocument/2006/relationships/hyperlink" Target="https://github.com/RI-Bows/RIBows/pull/193" TargetMode="External"/><Relationship Id="rId3" Type="http://schemas.openxmlformats.org/officeDocument/2006/relationships/hyperlink" Target="https://github.com/RI-Bows/RIBows/issues/16" TargetMode="External"/><Relationship Id="rId21" Type="http://schemas.openxmlformats.org/officeDocument/2006/relationships/table" Target="../tables/table6.xml"/><Relationship Id="rId7" Type="http://schemas.openxmlformats.org/officeDocument/2006/relationships/hyperlink" Target="https://github.com/RI-Bows/RIBows/issues/31" TargetMode="External"/><Relationship Id="rId12" Type="http://schemas.openxmlformats.org/officeDocument/2006/relationships/hyperlink" Target="https://github.com/RI-Bows/RIBows/pull/93" TargetMode="External"/><Relationship Id="rId17" Type="http://schemas.openxmlformats.org/officeDocument/2006/relationships/hyperlink" Target="https://github.com/RI-Bows/RIBows/issues/192" TargetMode="External"/><Relationship Id="rId2" Type="http://schemas.openxmlformats.org/officeDocument/2006/relationships/hyperlink" Target="https://github.com/RI-Bows/RIBows/pull/39" TargetMode="External"/><Relationship Id="rId16" Type="http://schemas.openxmlformats.org/officeDocument/2006/relationships/hyperlink" Target="https://github.com/RI-Bows/RIBows/pull/167" TargetMode="External"/><Relationship Id="rId20" Type="http://schemas.openxmlformats.org/officeDocument/2006/relationships/table" Target="../tables/table5.xml"/><Relationship Id="rId1" Type="http://schemas.openxmlformats.org/officeDocument/2006/relationships/hyperlink" Target="https://github.com/RI-Bows/RIBows/issues/1" TargetMode="External"/><Relationship Id="rId6" Type="http://schemas.openxmlformats.org/officeDocument/2006/relationships/hyperlink" Target="https://github.com/RI-Bows/RIBows/pull/24" TargetMode="External"/><Relationship Id="rId11" Type="http://schemas.openxmlformats.org/officeDocument/2006/relationships/hyperlink" Target="https://github.com/RI-Bows/RIBows/issues/68" TargetMode="External"/><Relationship Id="rId5" Type="http://schemas.openxmlformats.org/officeDocument/2006/relationships/hyperlink" Target="https://github.com/RI-Bows/RIBows/issues/2" TargetMode="External"/><Relationship Id="rId15" Type="http://schemas.openxmlformats.org/officeDocument/2006/relationships/hyperlink" Target="https://github.com/RI-Bows/RIBows/issues/140" TargetMode="External"/><Relationship Id="rId10" Type="http://schemas.openxmlformats.org/officeDocument/2006/relationships/hyperlink" Target="https://github.com/RI-Bows/RIBows/pull/63" TargetMode="External"/><Relationship Id="rId19" Type="http://schemas.openxmlformats.org/officeDocument/2006/relationships/table" Target="../tables/table4.xml"/><Relationship Id="rId4" Type="http://schemas.openxmlformats.org/officeDocument/2006/relationships/hyperlink" Target="https://github.com/RI-Bows/RIBows/pull/40" TargetMode="External"/><Relationship Id="rId9" Type="http://schemas.openxmlformats.org/officeDocument/2006/relationships/hyperlink" Target="https://github.com/RI-Bows/RIBows/issues/54" TargetMode="External"/><Relationship Id="rId14" Type="http://schemas.openxmlformats.org/officeDocument/2006/relationships/hyperlink" Target="https://github.com/RI-Bows/RIBows/pull/160" TargetMode="External"/><Relationship Id="rId22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RI-Bows/RIBows/pull/66" TargetMode="External"/><Relationship Id="rId18" Type="http://schemas.openxmlformats.org/officeDocument/2006/relationships/hyperlink" Target="https://github.com/RI-Bows/RIBows/issues/99" TargetMode="External"/><Relationship Id="rId26" Type="http://schemas.openxmlformats.org/officeDocument/2006/relationships/hyperlink" Target="https://github.com/RI-Bows/RIBows/issues/135" TargetMode="External"/><Relationship Id="rId3" Type="http://schemas.openxmlformats.org/officeDocument/2006/relationships/hyperlink" Target="https://github.com/RI-Bows/RIBows/issues/3" TargetMode="External"/><Relationship Id="rId21" Type="http://schemas.openxmlformats.org/officeDocument/2006/relationships/hyperlink" Target="https://github.com/RI-Bows/RIBows/issues/115" TargetMode="External"/><Relationship Id="rId7" Type="http://schemas.openxmlformats.org/officeDocument/2006/relationships/hyperlink" Target="https://github.com/RI-Bows/RIBows/issues/5" TargetMode="External"/><Relationship Id="rId12" Type="http://schemas.openxmlformats.org/officeDocument/2006/relationships/hyperlink" Target="https://github.com/RI-Bows/RIBows/issues/65" TargetMode="External"/><Relationship Id="rId17" Type="http://schemas.openxmlformats.org/officeDocument/2006/relationships/hyperlink" Target="https://github.com/RI-Bows/ri-bows.github.io/pull/19" TargetMode="External"/><Relationship Id="rId25" Type="http://schemas.openxmlformats.org/officeDocument/2006/relationships/hyperlink" Target="https://github.com/RI-Bows/ri-bows.github.io/pull/20" TargetMode="External"/><Relationship Id="rId33" Type="http://schemas.openxmlformats.org/officeDocument/2006/relationships/table" Target="../tables/table11.xml"/><Relationship Id="rId2" Type="http://schemas.openxmlformats.org/officeDocument/2006/relationships/hyperlink" Target="https://github.com/RI-Bows/RIBows/pull/33" TargetMode="External"/><Relationship Id="rId16" Type="http://schemas.openxmlformats.org/officeDocument/2006/relationships/hyperlink" Target="https://github.com/RI-Bows/RIBows/issues/98" TargetMode="External"/><Relationship Id="rId20" Type="http://schemas.openxmlformats.org/officeDocument/2006/relationships/hyperlink" Target="https://github.com/RI-Bows/RIBows/issues/67" TargetMode="External"/><Relationship Id="rId29" Type="http://schemas.openxmlformats.org/officeDocument/2006/relationships/hyperlink" Target="https://github.com/RI-Bows/RIBows/pull/158" TargetMode="External"/><Relationship Id="rId1" Type="http://schemas.openxmlformats.org/officeDocument/2006/relationships/hyperlink" Target="https://github.com/RI-Bows/RIBows/issues/32" TargetMode="External"/><Relationship Id="rId6" Type="http://schemas.openxmlformats.org/officeDocument/2006/relationships/hyperlink" Target="https://github.com/RI-Bows/RIBows/pull/34" TargetMode="External"/><Relationship Id="rId11" Type="http://schemas.openxmlformats.org/officeDocument/2006/relationships/hyperlink" Target="https://github.com/RI-Bows/RIBows/issues/42" TargetMode="External"/><Relationship Id="rId24" Type="http://schemas.openxmlformats.org/officeDocument/2006/relationships/hyperlink" Target="https://github.com/RI-Bows/RIBows/issues/133" TargetMode="External"/><Relationship Id="rId32" Type="http://schemas.openxmlformats.org/officeDocument/2006/relationships/table" Target="../tables/table10.xml"/><Relationship Id="rId5" Type="http://schemas.openxmlformats.org/officeDocument/2006/relationships/hyperlink" Target="https://github.com/RI-Bows/RIBows/issues/4" TargetMode="External"/><Relationship Id="rId15" Type="http://schemas.openxmlformats.org/officeDocument/2006/relationships/hyperlink" Target="https://github.com/RI-Bows/RIBows/pull/97" TargetMode="External"/><Relationship Id="rId23" Type="http://schemas.openxmlformats.org/officeDocument/2006/relationships/hyperlink" Target="https://github.com/RI-Bows/RIBows/issues/132" TargetMode="External"/><Relationship Id="rId28" Type="http://schemas.openxmlformats.org/officeDocument/2006/relationships/hyperlink" Target="https://github.com/RI-Bows/RIBows/issues/142" TargetMode="External"/><Relationship Id="rId10" Type="http://schemas.openxmlformats.org/officeDocument/2006/relationships/hyperlink" Target="https://github.com/RI-Bows/RIBows/pull/64" TargetMode="External"/><Relationship Id="rId19" Type="http://schemas.openxmlformats.org/officeDocument/2006/relationships/hyperlink" Target="https://github.com/RI-Bows/RIBows/pull/100" TargetMode="External"/><Relationship Id="rId31" Type="http://schemas.openxmlformats.org/officeDocument/2006/relationships/table" Target="../tables/table9.xml"/><Relationship Id="rId4" Type="http://schemas.openxmlformats.org/officeDocument/2006/relationships/hyperlink" Target="https://github.com/RI-Bows/RIBows/pull/22" TargetMode="External"/><Relationship Id="rId9" Type="http://schemas.openxmlformats.org/officeDocument/2006/relationships/hyperlink" Target="https://github.com/RI-Bows/RIBows/issues/14" TargetMode="External"/><Relationship Id="rId14" Type="http://schemas.openxmlformats.org/officeDocument/2006/relationships/hyperlink" Target="https://github.com/RI-Bows/RIBows/issues/96" TargetMode="External"/><Relationship Id="rId22" Type="http://schemas.openxmlformats.org/officeDocument/2006/relationships/hyperlink" Target="https://github.com/RI-Bows/RIBows/pull/157" TargetMode="External"/><Relationship Id="rId27" Type="http://schemas.openxmlformats.org/officeDocument/2006/relationships/hyperlink" Target="https://github.com/RI-Bows/RIBows/pull/175" TargetMode="External"/><Relationship Id="rId30" Type="http://schemas.openxmlformats.org/officeDocument/2006/relationships/table" Target="../tables/table8.xml"/><Relationship Id="rId8" Type="http://schemas.openxmlformats.org/officeDocument/2006/relationships/hyperlink" Target="https://github.com/RI-Bows/ri-bows.github.io/pull/16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I-Bows/RIBows/issues/37" TargetMode="External"/><Relationship Id="rId13" Type="http://schemas.openxmlformats.org/officeDocument/2006/relationships/hyperlink" Target="https://github.com/RI-Bows/RIBows/pull/172" TargetMode="External"/><Relationship Id="rId18" Type="http://schemas.openxmlformats.org/officeDocument/2006/relationships/hyperlink" Target="https://github.com/RI-Bows/RIBows/issues/118" TargetMode="External"/><Relationship Id="rId26" Type="http://schemas.openxmlformats.org/officeDocument/2006/relationships/table" Target="../tables/table12.xml"/><Relationship Id="rId3" Type="http://schemas.openxmlformats.org/officeDocument/2006/relationships/hyperlink" Target="https://github.com/RI-Bows/RIBows/pull/41" TargetMode="External"/><Relationship Id="rId21" Type="http://schemas.openxmlformats.org/officeDocument/2006/relationships/hyperlink" Target="https://github.com/RI-Bows/RIBows/pull/183" TargetMode="External"/><Relationship Id="rId7" Type="http://schemas.openxmlformats.org/officeDocument/2006/relationships/hyperlink" Target="https://github.com/RI-Bows/RIBows/pull/112" TargetMode="External"/><Relationship Id="rId12" Type="http://schemas.openxmlformats.org/officeDocument/2006/relationships/hyperlink" Target="https://github.com/RI-Bows/RIBows/issues/134" TargetMode="External"/><Relationship Id="rId17" Type="http://schemas.openxmlformats.org/officeDocument/2006/relationships/hyperlink" Target="https://github.com/RI-Bows/RIBows/pull/181" TargetMode="External"/><Relationship Id="rId25" Type="http://schemas.openxmlformats.org/officeDocument/2006/relationships/hyperlink" Target="https://github.com/RI-Bows/RIBows/pull/130" TargetMode="External"/><Relationship Id="rId2" Type="http://schemas.openxmlformats.org/officeDocument/2006/relationships/hyperlink" Target="https://github.com/RI-Bows/RIBows/issues/18" TargetMode="External"/><Relationship Id="rId16" Type="http://schemas.openxmlformats.org/officeDocument/2006/relationships/hyperlink" Target="https://github.com/RI-Bows/RIBows/issues/174" TargetMode="External"/><Relationship Id="rId20" Type="http://schemas.openxmlformats.org/officeDocument/2006/relationships/hyperlink" Target="https://github.com/RI-Bows/RIBows/issues/182" TargetMode="External"/><Relationship Id="rId29" Type="http://schemas.openxmlformats.org/officeDocument/2006/relationships/table" Target="../tables/table15.xml"/><Relationship Id="rId1" Type="http://schemas.openxmlformats.org/officeDocument/2006/relationships/hyperlink" Target="https://github.com/RI-Bows/RIBows/issues/6" TargetMode="External"/><Relationship Id="rId6" Type="http://schemas.openxmlformats.org/officeDocument/2006/relationships/hyperlink" Target="https://github.com/RI-Bows/RIBows/issues/111" TargetMode="External"/><Relationship Id="rId11" Type="http://schemas.openxmlformats.org/officeDocument/2006/relationships/hyperlink" Target="https://github.com/RI-Bows/RIBows/issues/101" TargetMode="External"/><Relationship Id="rId24" Type="http://schemas.openxmlformats.org/officeDocument/2006/relationships/hyperlink" Target="https://github.com/RI-Bows/RIBows/issues/110" TargetMode="External"/><Relationship Id="rId5" Type="http://schemas.openxmlformats.org/officeDocument/2006/relationships/hyperlink" Target="https://github.com/RI-Bows/RIBows/issues/48" TargetMode="External"/><Relationship Id="rId15" Type="http://schemas.openxmlformats.org/officeDocument/2006/relationships/hyperlink" Target="https://github.com/RI-Bows/RIBows/pull/188" TargetMode="External"/><Relationship Id="rId23" Type="http://schemas.openxmlformats.org/officeDocument/2006/relationships/hyperlink" Target="https://github.com/RI-Bows/RIBows/pull/143" TargetMode="External"/><Relationship Id="rId28" Type="http://schemas.openxmlformats.org/officeDocument/2006/relationships/table" Target="../tables/table14.xml"/><Relationship Id="rId10" Type="http://schemas.openxmlformats.org/officeDocument/2006/relationships/hyperlink" Target="https://github.com/RI-Bows/RIBows/pull/105" TargetMode="External"/><Relationship Id="rId19" Type="http://schemas.openxmlformats.org/officeDocument/2006/relationships/hyperlink" Target="https://github.com/RI-Bows/RIBows/pull/124" TargetMode="External"/><Relationship Id="rId4" Type="http://schemas.openxmlformats.org/officeDocument/2006/relationships/hyperlink" Target="https://github.com/RI-Bows/RIBows/issues/43" TargetMode="External"/><Relationship Id="rId9" Type="http://schemas.openxmlformats.org/officeDocument/2006/relationships/hyperlink" Target="https://github.com/RI-Bows/RIBows/issues/75" TargetMode="External"/><Relationship Id="rId14" Type="http://schemas.openxmlformats.org/officeDocument/2006/relationships/hyperlink" Target="https://github.com/RI-Bows/RIBows/issues/187" TargetMode="External"/><Relationship Id="rId22" Type="http://schemas.openxmlformats.org/officeDocument/2006/relationships/hyperlink" Target="https://github.com/RI-Bows/RIBows/issues/141" TargetMode="External"/><Relationship Id="rId27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RI-Bows/RIBows/pull/106" TargetMode="External"/><Relationship Id="rId18" Type="http://schemas.openxmlformats.org/officeDocument/2006/relationships/hyperlink" Target="https://github.com/RI-Bows/RIBows/issues/46" TargetMode="External"/><Relationship Id="rId26" Type="http://schemas.openxmlformats.org/officeDocument/2006/relationships/hyperlink" Target="https://github.com/RI-Bows/RIBows/issues/57" TargetMode="External"/><Relationship Id="rId39" Type="http://schemas.openxmlformats.org/officeDocument/2006/relationships/hyperlink" Target="https://github.com/RI-Bows/RIBows/pull/145" TargetMode="External"/><Relationship Id="rId21" Type="http://schemas.openxmlformats.org/officeDocument/2006/relationships/hyperlink" Target="https://github.com/RI-Bows/RIBows/pull/79" TargetMode="External"/><Relationship Id="rId34" Type="http://schemas.openxmlformats.org/officeDocument/2006/relationships/hyperlink" Target="https://github.com/RI-Bows/RIBows/issues/154" TargetMode="External"/><Relationship Id="rId42" Type="http://schemas.openxmlformats.org/officeDocument/2006/relationships/hyperlink" Target="https://github.com/RI-Bows/RIBows/issues/116" TargetMode="External"/><Relationship Id="rId47" Type="http://schemas.openxmlformats.org/officeDocument/2006/relationships/hyperlink" Target="https://github.com/RI-Bows/RIBows/pull/152" TargetMode="External"/><Relationship Id="rId50" Type="http://schemas.openxmlformats.org/officeDocument/2006/relationships/table" Target="../tables/table18.xml"/><Relationship Id="rId7" Type="http://schemas.openxmlformats.org/officeDocument/2006/relationships/hyperlink" Target="https://github.com/RI-Bows/RIBows/pull/45" TargetMode="External"/><Relationship Id="rId2" Type="http://schemas.openxmlformats.org/officeDocument/2006/relationships/hyperlink" Target="https://github.com/RI-Bows/RIBows/issues/25" TargetMode="External"/><Relationship Id="rId16" Type="http://schemas.openxmlformats.org/officeDocument/2006/relationships/hyperlink" Target="https://github.com/RI-Bows/RIBows/issues/82" TargetMode="External"/><Relationship Id="rId29" Type="http://schemas.openxmlformats.org/officeDocument/2006/relationships/hyperlink" Target="https://github.com/RI-Bows/RIBows/pull/123" TargetMode="External"/><Relationship Id="rId11" Type="http://schemas.openxmlformats.org/officeDocument/2006/relationships/hyperlink" Target="https://github.com/RI-Bows/RIBows/pull/108" TargetMode="External"/><Relationship Id="rId24" Type="http://schemas.openxmlformats.org/officeDocument/2006/relationships/hyperlink" Target="https://github.com/RI-Bows/RIBows/issues/71" TargetMode="External"/><Relationship Id="rId32" Type="http://schemas.openxmlformats.org/officeDocument/2006/relationships/hyperlink" Target="https://github.com/RI-Bows/RIBows/issues/156" TargetMode="External"/><Relationship Id="rId37" Type="http://schemas.openxmlformats.org/officeDocument/2006/relationships/hyperlink" Target="https://github.com/RI-Bows/RIBows/pull/169" TargetMode="External"/><Relationship Id="rId40" Type="http://schemas.openxmlformats.org/officeDocument/2006/relationships/hyperlink" Target="https://github.com/RI-Bows/RIBows/issues/153" TargetMode="External"/><Relationship Id="rId45" Type="http://schemas.openxmlformats.org/officeDocument/2006/relationships/hyperlink" Target="https://github.com/RI-Bows/RIBows/pull/152" TargetMode="External"/><Relationship Id="rId5" Type="http://schemas.openxmlformats.org/officeDocument/2006/relationships/hyperlink" Target="https://github.com/RI-Bows/RIBows/pull/21" TargetMode="External"/><Relationship Id="rId15" Type="http://schemas.openxmlformats.org/officeDocument/2006/relationships/hyperlink" Target="https://github.com/RI-Bows/RIBows/pull/84" TargetMode="External"/><Relationship Id="rId23" Type="http://schemas.openxmlformats.org/officeDocument/2006/relationships/hyperlink" Target="https://github.com/RI-Bows/RIBows/pull/70" TargetMode="External"/><Relationship Id="rId28" Type="http://schemas.openxmlformats.org/officeDocument/2006/relationships/hyperlink" Target="https://github.com/RI-Bows/RIBows/issues/120" TargetMode="External"/><Relationship Id="rId36" Type="http://schemas.openxmlformats.org/officeDocument/2006/relationships/hyperlink" Target="https://github.com/RI-Bows/RIBows/issues/163" TargetMode="External"/><Relationship Id="rId49" Type="http://schemas.openxmlformats.org/officeDocument/2006/relationships/table" Target="../tables/table17.xml"/><Relationship Id="rId10" Type="http://schemas.openxmlformats.org/officeDocument/2006/relationships/hyperlink" Target="https://github.com/RI-Bows/RIBows/issues/107" TargetMode="External"/><Relationship Id="rId19" Type="http://schemas.openxmlformats.org/officeDocument/2006/relationships/hyperlink" Target="https://github.com/RI-Bows/RIBows/pull/80" TargetMode="External"/><Relationship Id="rId31" Type="http://schemas.openxmlformats.org/officeDocument/2006/relationships/hyperlink" Target="https://github.com/RI-Bows/RIBows/pull/198" TargetMode="External"/><Relationship Id="rId44" Type="http://schemas.openxmlformats.org/officeDocument/2006/relationships/hyperlink" Target="https://github.com/RI-Bows/RIBows/issues/150" TargetMode="External"/><Relationship Id="rId4" Type="http://schemas.openxmlformats.org/officeDocument/2006/relationships/hyperlink" Target="https://github.com/RI-Bows/RIBows/issues/20" TargetMode="External"/><Relationship Id="rId9" Type="http://schemas.openxmlformats.org/officeDocument/2006/relationships/hyperlink" Target="https://github.com/RI-Bows/RIBows/pull/59" TargetMode="External"/><Relationship Id="rId14" Type="http://schemas.openxmlformats.org/officeDocument/2006/relationships/hyperlink" Target="https://github.com/RI-Bows/RIBows/issues/69" TargetMode="External"/><Relationship Id="rId22" Type="http://schemas.openxmlformats.org/officeDocument/2006/relationships/hyperlink" Target="https://github.com/RI-Bows/RIBows/issues/61" TargetMode="External"/><Relationship Id="rId27" Type="http://schemas.openxmlformats.org/officeDocument/2006/relationships/hyperlink" Target="https://github.com/RI-Bows/RIBows/pull/85" TargetMode="External"/><Relationship Id="rId30" Type="http://schemas.openxmlformats.org/officeDocument/2006/relationships/hyperlink" Target="https://github.com/RI-Bows/RIBows/issues/155" TargetMode="External"/><Relationship Id="rId35" Type="http://schemas.openxmlformats.org/officeDocument/2006/relationships/hyperlink" Target="https://github.com/RI-Bows/RIBows/pull/194" TargetMode="External"/><Relationship Id="rId43" Type="http://schemas.openxmlformats.org/officeDocument/2006/relationships/hyperlink" Target="https://github.com/RI-Bows/RIBows/pull/125" TargetMode="External"/><Relationship Id="rId48" Type="http://schemas.openxmlformats.org/officeDocument/2006/relationships/table" Target="../tables/table16.xml"/><Relationship Id="rId8" Type="http://schemas.openxmlformats.org/officeDocument/2006/relationships/hyperlink" Target="https://github.com/RI-Bows/RIBows/issues/58" TargetMode="External"/><Relationship Id="rId51" Type="http://schemas.openxmlformats.org/officeDocument/2006/relationships/table" Target="../tables/table19.xml"/><Relationship Id="rId3" Type="http://schemas.openxmlformats.org/officeDocument/2006/relationships/hyperlink" Target="https://github.com/RI-Bows/RIBows/pull/26" TargetMode="External"/><Relationship Id="rId12" Type="http://schemas.openxmlformats.org/officeDocument/2006/relationships/hyperlink" Target="https://github.com/RI-Bows/RIBows/issues/50" TargetMode="External"/><Relationship Id="rId17" Type="http://schemas.openxmlformats.org/officeDocument/2006/relationships/hyperlink" Target="https://github.com/RI-Bows/RIBows/pull/83" TargetMode="External"/><Relationship Id="rId25" Type="http://schemas.openxmlformats.org/officeDocument/2006/relationships/hyperlink" Target="https://github.com/RI-Bows/RIBows/pull/72" TargetMode="External"/><Relationship Id="rId33" Type="http://schemas.openxmlformats.org/officeDocument/2006/relationships/hyperlink" Target="https://github.com/RI-Bows/RIBows/pull/195" TargetMode="External"/><Relationship Id="rId38" Type="http://schemas.openxmlformats.org/officeDocument/2006/relationships/hyperlink" Target="https://github.com/RI-Bows/RIBows/issues/138" TargetMode="External"/><Relationship Id="rId46" Type="http://schemas.openxmlformats.org/officeDocument/2006/relationships/hyperlink" Target="https://github.com/RI-Bows/RIBows/issues/148" TargetMode="External"/><Relationship Id="rId20" Type="http://schemas.openxmlformats.org/officeDocument/2006/relationships/hyperlink" Target="https://github.com/RI-Bows/RIBows/issues/78" TargetMode="External"/><Relationship Id="rId41" Type="http://schemas.openxmlformats.org/officeDocument/2006/relationships/hyperlink" Target="https://github.com/RI-Bows/RIBows/pull/159" TargetMode="External"/><Relationship Id="rId1" Type="http://schemas.openxmlformats.org/officeDocument/2006/relationships/hyperlink" Target="https://github.com/RI-Bows/RIBows/issues/9" TargetMode="External"/><Relationship Id="rId6" Type="http://schemas.openxmlformats.org/officeDocument/2006/relationships/hyperlink" Target="https://github.com/RI-Bows/RIBows/issues/36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RI-Bows/RIBows/pull/197" TargetMode="External"/><Relationship Id="rId18" Type="http://schemas.openxmlformats.org/officeDocument/2006/relationships/hyperlink" Target="https://github.com/RI-Bows/RIBows/pull/173" TargetMode="External"/><Relationship Id="rId26" Type="http://schemas.openxmlformats.org/officeDocument/2006/relationships/hyperlink" Target="https://github.com/RI-Bows/RIBows/pull/161" TargetMode="External"/><Relationship Id="rId3" Type="http://schemas.openxmlformats.org/officeDocument/2006/relationships/hyperlink" Target="https://github.com/RI-Bows/RIBows/issues/17" TargetMode="External"/><Relationship Id="rId21" Type="http://schemas.openxmlformats.org/officeDocument/2006/relationships/hyperlink" Target="https://github.com/RI-Bows/RIBows/issues/121" TargetMode="External"/><Relationship Id="rId34" Type="http://schemas.openxmlformats.org/officeDocument/2006/relationships/table" Target="../tables/table21.xml"/><Relationship Id="rId7" Type="http://schemas.openxmlformats.org/officeDocument/2006/relationships/hyperlink" Target="https://github.com/RI-Bows/RIBows/issues/55" TargetMode="External"/><Relationship Id="rId12" Type="http://schemas.openxmlformats.org/officeDocument/2006/relationships/hyperlink" Target="https://github.com/RI-Bows/RIBows/issues/196" TargetMode="External"/><Relationship Id="rId17" Type="http://schemas.openxmlformats.org/officeDocument/2006/relationships/hyperlink" Target="https://github.com/RI-Bows/RIBows/issues/171" TargetMode="External"/><Relationship Id="rId25" Type="http://schemas.openxmlformats.org/officeDocument/2006/relationships/hyperlink" Target="https://github.com/RI-Bows/RIBows/issues/137" TargetMode="External"/><Relationship Id="rId33" Type="http://schemas.openxmlformats.org/officeDocument/2006/relationships/table" Target="../tables/table20.xml"/><Relationship Id="rId2" Type="http://schemas.openxmlformats.org/officeDocument/2006/relationships/hyperlink" Target="https://github.com/RI-Bows/RIBows/pull/27" TargetMode="External"/><Relationship Id="rId16" Type="http://schemas.openxmlformats.org/officeDocument/2006/relationships/hyperlink" Target="https://github.com/RI-Bows/RIBows/pull/180" TargetMode="External"/><Relationship Id="rId20" Type="http://schemas.openxmlformats.org/officeDocument/2006/relationships/hyperlink" Target="https://github.com/RI-Bows/RIBows/pull/170" TargetMode="External"/><Relationship Id="rId29" Type="http://schemas.openxmlformats.org/officeDocument/2006/relationships/hyperlink" Target="https://github.com/RI-Bows/RIBows/issues/122" TargetMode="External"/><Relationship Id="rId1" Type="http://schemas.openxmlformats.org/officeDocument/2006/relationships/hyperlink" Target="https://github.com/RI-Bows/RIBows/issues/13" TargetMode="External"/><Relationship Id="rId6" Type="http://schemas.openxmlformats.org/officeDocument/2006/relationships/hyperlink" Target="https://github.com/RI-Bows/RIBows/issues/81" TargetMode="External"/><Relationship Id="rId11" Type="http://schemas.openxmlformats.org/officeDocument/2006/relationships/hyperlink" Target="https://github.com/RI-Bows/RIBows/issues/151" TargetMode="External"/><Relationship Id="rId24" Type="http://schemas.openxmlformats.org/officeDocument/2006/relationships/hyperlink" Target="https://github.com/RI-Bows/RIBows/pull/146" TargetMode="External"/><Relationship Id="rId32" Type="http://schemas.openxmlformats.org/officeDocument/2006/relationships/hyperlink" Target="https://github.com/RI-Bows/RIBows/pull/162" TargetMode="External"/><Relationship Id="rId5" Type="http://schemas.openxmlformats.org/officeDocument/2006/relationships/hyperlink" Target="https://github.com/RI-Bows/RIBows/pull/73" TargetMode="External"/><Relationship Id="rId15" Type="http://schemas.openxmlformats.org/officeDocument/2006/relationships/hyperlink" Target="https://github.com/RI-Bows/RIBows/issues/177" TargetMode="External"/><Relationship Id="rId23" Type="http://schemas.openxmlformats.org/officeDocument/2006/relationships/hyperlink" Target="https://github.com/RI-Bows/RIBows/issues/119" TargetMode="External"/><Relationship Id="rId28" Type="http://schemas.openxmlformats.org/officeDocument/2006/relationships/hyperlink" Target="https://github.com/RI-Bows/RIBows/pull/190" TargetMode="External"/><Relationship Id="rId36" Type="http://schemas.openxmlformats.org/officeDocument/2006/relationships/table" Target="../tables/table23.xml"/><Relationship Id="rId10" Type="http://schemas.openxmlformats.org/officeDocument/2006/relationships/hyperlink" Target="https://github.com/RI-Bows/RIBows/pull/56" TargetMode="External"/><Relationship Id="rId19" Type="http://schemas.openxmlformats.org/officeDocument/2006/relationships/hyperlink" Target="https://github.com/RI-Bows/RIBows/issues/164" TargetMode="External"/><Relationship Id="rId31" Type="http://schemas.openxmlformats.org/officeDocument/2006/relationships/hyperlink" Target="https://github.com/RI-Bows/RIBows/issues/144" TargetMode="External"/><Relationship Id="rId4" Type="http://schemas.openxmlformats.org/officeDocument/2006/relationships/hyperlink" Target="https://github.com/RI-Bows/ri-bows.github.io/issues/15" TargetMode="External"/><Relationship Id="rId9" Type="http://schemas.openxmlformats.org/officeDocument/2006/relationships/hyperlink" Target="https://github.com/RI-Bows/RIBows/issues/53" TargetMode="External"/><Relationship Id="rId14" Type="http://schemas.openxmlformats.org/officeDocument/2006/relationships/hyperlink" Target="https://github.com/RI-Bows/RIBows/issues/185" TargetMode="External"/><Relationship Id="rId22" Type="http://schemas.openxmlformats.org/officeDocument/2006/relationships/hyperlink" Target="https://github.com/RI-Bows/RIBows/pull/129" TargetMode="External"/><Relationship Id="rId27" Type="http://schemas.openxmlformats.org/officeDocument/2006/relationships/hyperlink" Target="https://github.com/RI-Bows/RIBows/issues/186" TargetMode="External"/><Relationship Id="rId30" Type="http://schemas.openxmlformats.org/officeDocument/2006/relationships/hyperlink" Target="https://github.com/RI-Bows/RIBows/pull/166" TargetMode="External"/><Relationship Id="rId35" Type="http://schemas.openxmlformats.org/officeDocument/2006/relationships/table" Target="../tables/table22.xml"/><Relationship Id="rId8" Type="http://schemas.openxmlformats.org/officeDocument/2006/relationships/hyperlink" Target="https://github.com/RI-Bows/RIBows/pull/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5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37.6328125" customWidth="1"/>
    <col min="2" max="2" width="37" customWidth="1"/>
    <col min="3" max="3" width="16.453125" customWidth="1"/>
    <col min="5" max="5" width="37.6328125" customWidth="1"/>
    <col min="6" max="6" width="16.26953125" customWidth="1"/>
    <col min="7" max="7" width="14.90625" customWidth="1"/>
    <col min="8" max="8" width="18.36328125" customWidth="1"/>
    <col min="9" max="9" width="20.45312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5">
      <c r="A2" s="2" t="s">
        <v>9</v>
      </c>
      <c r="B2" s="3" t="s">
        <v>10</v>
      </c>
      <c r="C2" s="4" t="s">
        <v>11</v>
      </c>
      <c r="D2" s="2" t="s">
        <v>12</v>
      </c>
      <c r="E2" s="3" t="s">
        <v>13</v>
      </c>
    </row>
    <row r="3" spans="1:9" ht="22.5" customHeight="1" x14ac:dyDescent="0.25">
      <c r="A3" s="2" t="s">
        <v>14</v>
      </c>
      <c r="B3" s="3" t="s">
        <v>15</v>
      </c>
      <c r="C3" s="4" t="s">
        <v>16</v>
      </c>
      <c r="D3" s="2" t="s">
        <v>12</v>
      </c>
      <c r="F3" s="2">
        <v>3</v>
      </c>
      <c r="G3" s="2">
        <v>3</v>
      </c>
      <c r="H3" s="2">
        <v>2</v>
      </c>
    </row>
    <row r="4" spans="1:9" ht="22.5" customHeight="1" x14ac:dyDescent="0.25">
      <c r="A4" s="2" t="s">
        <v>17</v>
      </c>
      <c r="B4" s="3" t="s">
        <v>18</v>
      </c>
      <c r="C4" s="4" t="s">
        <v>19</v>
      </c>
      <c r="D4" s="2" t="s">
        <v>12</v>
      </c>
    </row>
    <row r="5" spans="1:9" ht="22.5" customHeight="1" x14ac:dyDescent="0.25">
      <c r="A5" s="2" t="s">
        <v>20</v>
      </c>
      <c r="B5" s="3" t="s">
        <v>21</v>
      </c>
      <c r="C5" s="4" t="s">
        <v>11</v>
      </c>
      <c r="D5" s="2" t="s">
        <v>12</v>
      </c>
      <c r="E5" s="3" t="s">
        <v>22</v>
      </c>
    </row>
    <row r="6" spans="1:9" ht="22.5" customHeight="1" x14ac:dyDescent="0.25">
      <c r="A6" s="2" t="s">
        <v>23</v>
      </c>
      <c r="B6" s="3" t="s">
        <v>24</v>
      </c>
      <c r="C6" s="4" t="s">
        <v>11</v>
      </c>
      <c r="D6" s="2" t="s">
        <v>12</v>
      </c>
      <c r="E6" s="3" t="s">
        <v>25</v>
      </c>
    </row>
    <row r="7" spans="1:9" ht="22.5" customHeight="1" x14ac:dyDescent="0.25">
      <c r="A7" s="2" t="s">
        <v>26</v>
      </c>
      <c r="B7" s="3" t="s">
        <v>27</v>
      </c>
      <c r="C7" s="4" t="s">
        <v>28</v>
      </c>
      <c r="D7" s="2" t="s">
        <v>12</v>
      </c>
      <c r="E7" s="3" t="s">
        <v>29</v>
      </c>
      <c r="F7" s="2">
        <v>1</v>
      </c>
      <c r="G7" s="2">
        <v>2</v>
      </c>
      <c r="H7" s="2">
        <v>0</v>
      </c>
    </row>
    <row r="8" spans="1:9" ht="22.5" customHeight="1" x14ac:dyDescent="0.25">
      <c r="A8" s="2" t="s">
        <v>30</v>
      </c>
      <c r="B8" s="3" t="s">
        <v>31</v>
      </c>
      <c r="C8" s="4" t="s">
        <v>16</v>
      </c>
      <c r="D8" s="2" t="s">
        <v>12</v>
      </c>
      <c r="E8" s="3" t="s">
        <v>32</v>
      </c>
      <c r="F8" s="2">
        <v>2</v>
      </c>
      <c r="G8" s="2">
        <v>1</v>
      </c>
      <c r="H8" s="2">
        <v>1</v>
      </c>
    </row>
    <row r="9" spans="1:9" ht="22.5" customHeight="1" x14ac:dyDescent="0.25">
      <c r="A9" s="2" t="s">
        <v>33</v>
      </c>
      <c r="B9" s="3" t="s">
        <v>34</v>
      </c>
      <c r="C9" s="4" t="s">
        <v>19</v>
      </c>
      <c r="D9" s="2" t="s">
        <v>12</v>
      </c>
      <c r="E9" s="3" t="s">
        <v>35</v>
      </c>
    </row>
    <row r="10" spans="1:9" ht="22.5" customHeight="1" x14ac:dyDescent="0.25">
      <c r="A10" s="2" t="s">
        <v>36</v>
      </c>
      <c r="B10" s="3" t="s">
        <v>37</v>
      </c>
      <c r="C10" s="4" t="s">
        <v>38</v>
      </c>
      <c r="D10" s="2" t="s">
        <v>12</v>
      </c>
      <c r="E10" s="3" t="s">
        <v>39</v>
      </c>
      <c r="F10" s="2">
        <v>5</v>
      </c>
      <c r="G10" s="2">
        <v>2</v>
      </c>
      <c r="H10" s="2">
        <v>3</v>
      </c>
    </row>
    <row r="11" spans="1:9" ht="22.5" customHeight="1" x14ac:dyDescent="0.25">
      <c r="A11" s="2" t="s">
        <v>40</v>
      </c>
      <c r="B11" s="3" t="s">
        <v>41</v>
      </c>
      <c r="C11" s="4" t="s">
        <v>28</v>
      </c>
      <c r="D11" s="2" t="s">
        <v>12</v>
      </c>
      <c r="F11" s="2">
        <v>1</v>
      </c>
      <c r="G11" s="2">
        <v>1</v>
      </c>
      <c r="H11" s="2">
        <v>0</v>
      </c>
    </row>
    <row r="12" spans="1:9" ht="22.5" customHeight="1" x14ac:dyDescent="0.25">
      <c r="A12" s="2" t="s">
        <v>42</v>
      </c>
      <c r="B12" s="3" t="s">
        <v>43</v>
      </c>
      <c r="C12" s="4" t="s">
        <v>38</v>
      </c>
      <c r="D12" s="2" t="s">
        <v>12</v>
      </c>
      <c r="E12" s="3" t="s">
        <v>44</v>
      </c>
    </row>
    <row r="13" spans="1:9" ht="22.5" customHeight="1" x14ac:dyDescent="0.25">
      <c r="A13" s="2" t="s">
        <v>45</v>
      </c>
      <c r="B13" s="3" t="s">
        <v>46</v>
      </c>
      <c r="C13" s="4" t="s">
        <v>38</v>
      </c>
      <c r="D13" s="2" t="s">
        <v>12</v>
      </c>
      <c r="E13" s="3" t="s">
        <v>47</v>
      </c>
    </row>
    <row r="14" spans="1:9" ht="22.5" customHeight="1" x14ac:dyDescent="0.25">
      <c r="A14" s="2" t="s">
        <v>48</v>
      </c>
      <c r="B14" s="3" t="s">
        <v>49</v>
      </c>
      <c r="C14" s="4" t="s">
        <v>19</v>
      </c>
      <c r="D14" s="2" t="s">
        <v>12</v>
      </c>
      <c r="E14" s="3" t="s">
        <v>50</v>
      </c>
    </row>
    <row r="15" spans="1:9" ht="22.5" customHeight="1" x14ac:dyDescent="0.25">
      <c r="A15" s="2" t="s">
        <v>51</v>
      </c>
      <c r="B15" s="3" t="s">
        <v>52</v>
      </c>
      <c r="C15" s="4" t="s">
        <v>11</v>
      </c>
      <c r="D15" s="2" t="s">
        <v>12</v>
      </c>
      <c r="E15" s="3" t="s">
        <v>53</v>
      </c>
    </row>
    <row r="16" spans="1:9" ht="22.5" customHeight="1" x14ac:dyDescent="0.25">
      <c r="A16" s="2" t="s">
        <v>54</v>
      </c>
      <c r="B16" s="3" t="s">
        <v>55</v>
      </c>
      <c r="C16" s="4" t="s">
        <v>16</v>
      </c>
      <c r="D16" s="2" t="s">
        <v>12</v>
      </c>
      <c r="F16" s="2">
        <v>2</v>
      </c>
      <c r="G16" s="2">
        <v>1.75</v>
      </c>
      <c r="H16" s="2">
        <v>0.25</v>
      </c>
    </row>
    <row r="17" spans="1:26" ht="22.5" customHeight="1" x14ac:dyDescent="0.25">
      <c r="A17" s="2" t="s">
        <v>56</v>
      </c>
      <c r="B17" s="3" t="s">
        <v>57</v>
      </c>
      <c r="C17" s="4" t="s">
        <v>19</v>
      </c>
      <c r="D17" s="2" t="s">
        <v>12</v>
      </c>
      <c r="E17" s="3" t="s">
        <v>58</v>
      </c>
    </row>
    <row r="18" spans="1:26" ht="22.5" customHeight="1" x14ac:dyDescent="0.25">
      <c r="A18" s="2" t="s">
        <v>59</v>
      </c>
      <c r="B18" s="3" t="s">
        <v>60</v>
      </c>
      <c r="C18" s="4" t="s">
        <v>16</v>
      </c>
      <c r="D18" s="2" t="s">
        <v>12</v>
      </c>
      <c r="F18" s="2">
        <v>1</v>
      </c>
      <c r="G18" s="2">
        <v>0.75</v>
      </c>
      <c r="H18" s="2">
        <v>0.25</v>
      </c>
    </row>
    <row r="21" spans="1:26" ht="22.5" customHeight="1" x14ac:dyDescent="0.25">
      <c r="A21" s="5" t="s">
        <v>0</v>
      </c>
      <c r="B21" s="6" t="s">
        <v>1</v>
      </c>
      <c r="C21" s="6" t="s">
        <v>2</v>
      </c>
      <c r="D21" s="6" t="s">
        <v>3</v>
      </c>
      <c r="E21" s="6" t="s">
        <v>4</v>
      </c>
      <c r="F21" s="6" t="s">
        <v>8</v>
      </c>
      <c r="G21" s="6" t="s">
        <v>5</v>
      </c>
      <c r="H21" s="6" t="s">
        <v>6</v>
      </c>
      <c r="I21" s="7" t="s">
        <v>61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22.5" customHeight="1" x14ac:dyDescent="0.25">
      <c r="A22" s="9" t="s">
        <v>62</v>
      </c>
      <c r="B22" s="10" t="s">
        <v>63</v>
      </c>
      <c r="C22" s="11" t="s">
        <v>38</v>
      </c>
      <c r="D22" s="12" t="s">
        <v>12</v>
      </c>
      <c r="E22" s="10" t="s">
        <v>64</v>
      </c>
      <c r="F22" s="13"/>
      <c r="G22" s="14">
        <v>2</v>
      </c>
      <c r="H22" s="14">
        <v>1</v>
      </c>
      <c r="I22" s="15">
        <v>1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22.5" customHeight="1" x14ac:dyDescent="0.25">
      <c r="A23" s="16" t="s">
        <v>65</v>
      </c>
      <c r="B23" s="17" t="s">
        <v>66</v>
      </c>
      <c r="C23" s="18" t="s">
        <v>38</v>
      </c>
      <c r="D23" s="19" t="s">
        <v>12</v>
      </c>
      <c r="E23" s="17" t="s">
        <v>67</v>
      </c>
      <c r="F23" s="20"/>
      <c r="G23" s="21">
        <v>1</v>
      </c>
      <c r="H23" s="21">
        <v>2</v>
      </c>
      <c r="I23" s="22">
        <v>1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2.5" customHeight="1" x14ac:dyDescent="0.25">
      <c r="A24" s="9" t="s">
        <v>68</v>
      </c>
      <c r="B24" s="10" t="s">
        <v>69</v>
      </c>
      <c r="C24" s="11" t="s">
        <v>38</v>
      </c>
      <c r="D24" s="12" t="s">
        <v>12</v>
      </c>
      <c r="E24" s="10" t="s">
        <v>70</v>
      </c>
      <c r="F24" s="13"/>
      <c r="G24" s="14">
        <v>2</v>
      </c>
      <c r="H24" s="14">
        <v>1</v>
      </c>
      <c r="I24" s="15">
        <v>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22.5" customHeight="1" x14ac:dyDescent="0.25">
      <c r="A25" s="16" t="s">
        <v>71</v>
      </c>
      <c r="B25" s="17" t="s">
        <v>72</v>
      </c>
      <c r="C25" s="23" t="s">
        <v>19</v>
      </c>
      <c r="D25" s="19" t="s">
        <v>12</v>
      </c>
      <c r="E25" s="17" t="s">
        <v>73</v>
      </c>
      <c r="F25" s="20"/>
      <c r="G25" s="21">
        <v>1</v>
      </c>
      <c r="H25" s="21">
        <v>1</v>
      </c>
      <c r="I25" s="22">
        <v>0.5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22.5" customHeight="1" x14ac:dyDescent="0.25">
      <c r="A26" s="9" t="s">
        <v>74</v>
      </c>
      <c r="B26" s="10" t="s">
        <v>75</v>
      </c>
      <c r="C26" s="24" t="s">
        <v>19</v>
      </c>
      <c r="D26" s="12" t="s">
        <v>12</v>
      </c>
      <c r="E26" s="10" t="s">
        <v>76</v>
      </c>
      <c r="F26" s="13"/>
      <c r="G26" s="14">
        <v>0.5</v>
      </c>
      <c r="H26" s="14">
        <v>0.5</v>
      </c>
      <c r="I26" s="15">
        <v>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22.5" customHeight="1" x14ac:dyDescent="0.25">
      <c r="A27" s="16" t="s">
        <v>77</v>
      </c>
      <c r="B27" s="17" t="s">
        <v>78</v>
      </c>
      <c r="C27" s="23" t="s">
        <v>19</v>
      </c>
      <c r="D27" s="19" t="s">
        <v>12</v>
      </c>
      <c r="E27" s="17" t="s">
        <v>79</v>
      </c>
      <c r="F27" s="20"/>
      <c r="G27" s="21">
        <v>1</v>
      </c>
      <c r="H27" s="21">
        <v>1</v>
      </c>
      <c r="I27" s="22">
        <v>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22.5" customHeight="1" x14ac:dyDescent="0.25">
      <c r="A28" s="9" t="s">
        <v>80</v>
      </c>
      <c r="B28" s="10" t="s">
        <v>81</v>
      </c>
      <c r="C28" s="24" t="s">
        <v>19</v>
      </c>
      <c r="D28" s="12" t="s">
        <v>12</v>
      </c>
      <c r="E28" s="10" t="s">
        <v>82</v>
      </c>
      <c r="F28" s="13"/>
      <c r="G28" s="14">
        <v>0.5</v>
      </c>
      <c r="H28" s="14">
        <v>1</v>
      </c>
      <c r="I28" s="15">
        <v>0.5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2.5" customHeight="1" x14ac:dyDescent="0.25">
      <c r="A29" s="16" t="s">
        <v>83</v>
      </c>
      <c r="B29" s="17" t="s">
        <v>84</v>
      </c>
      <c r="C29" s="23" t="s">
        <v>19</v>
      </c>
      <c r="D29" s="19" t="s">
        <v>12</v>
      </c>
      <c r="E29" s="17" t="s">
        <v>85</v>
      </c>
      <c r="F29" s="20"/>
      <c r="G29" s="21">
        <v>0.5</v>
      </c>
      <c r="H29" s="21">
        <v>0.5</v>
      </c>
      <c r="I29" s="22">
        <v>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22.5" customHeight="1" x14ac:dyDescent="0.25">
      <c r="A30" s="9" t="s">
        <v>86</v>
      </c>
      <c r="B30" s="10" t="s">
        <v>87</v>
      </c>
      <c r="C30" s="24" t="s">
        <v>19</v>
      </c>
      <c r="D30" s="12" t="s">
        <v>12</v>
      </c>
      <c r="E30" s="10" t="s">
        <v>88</v>
      </c>
      <c r="F30" s="13"/>
      <c r="G30" s="14">
        <v>1</v>
      </c>
      <c r="H30" s="14">
        <v>0.5</v>
      </c>
      <c r="I30" s="15">
        <v>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22.5" customHeight="1" x14ac:dyDescent="0.25">
      <c r="A31" s="16" t="s">
        <v>89</v>
      </c>
      <c r="B31" s="17" t="s">
        <v>90</v>
      </c>
      <c r="C31" s="23" t="s">
        <v>19</v>
      </c>
      <c r="D31" s="19" t="s">
        <v>12</v>
      </c>
      <c r="E31" s="17" t="s">
        <v>91</v>
      </c>
      <c r="F31" s="20"/>
      <c r="G31" s="21">
        <v>0.5</v>
      </c>
      <c r="H31" s="21">
        <v>0.5</v>
      </c>
      <c r="I31" s="22">
        <v>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22.5" customHeight="1" x14ac:dyDescent="0.25">
      <c r="A32" s="9" t="s">
        <v>92</v>
      </c>
      <c r="B32" s="10" t="s">
        <v>93</v>
      </c>
      <c r="C32" s="24" t="s">
        <v>19</v>
      </c>
      <c r="D32" s="12" t="s">
        <v>12</v>
      </c>
      <c r="E32" s="10" t="s">
        <v>94</v>
      </c>
      <c r="F32" s="13"/>
      <c r="G32" s="14">
        <v>0.5</v>
      </c>
      <c r="H32" s="14">
        <v>1</v>
      </c>
      <c r="I32" s="15">
        <v>0.5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22.5" customHeight="1" x14ac:dyDescent="0.25">
      <c r="A33" s="16" t="s">
        <v>95</v>
      </c>
      <c r="B33" s="17" t="s">
        <v>96</v>
      </c>
      <c r="C33" s="23" t="s">
        <v>19</v>
      </c>
      <c r="D33" s="19" t="s">
        <v>12</v>
      </c>
      <c r="E33" s="17" t="s">
        <v>97</v>
      </c>
      <c r="F33" s="20"/>
      <c r="G33" s="21">
        <v>0.5</v>
      </c>
      <c r="H33" s="21">
        <v>1</v>
      </c>
      <c r="I33" s="22">
        <v>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22.5" customHeight="1" x14ac:dyDescent="0.25">
      <c r="A34" s="9" t="s">
        <v>98</v>
      </c>
      <c r="B34" s="10" t="s">
        <v>99</v>
      </c>
      <c r="C34" s="24" t="s">
        <v>19</v>
      </c>
      <c r="D34" s="12" t="s">
        <v>12</v>
      </c>
      <c r="E34" s="10" t="s">
        <v>100</v>
      </c>
      <c r="F34" s="13"/>
      <c r="G34" s="14">
        <v>0.5</v>
      </c>
      <c r="H34" s="14">
        <v>1</v>
      </c>
      <c r="I34" s="15">
        <v>0.5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22.5" customHeight="1" x14ac:dyDescent="0.25">
      <c r="A35" s="16" t="s">
        <v>101</v>
      </c>
      <c r="B35" s="17" t="s">
        <v>102</v>
      </c>
      <c r="C35" s="25" t="s">
        <v>16</v>
      </c>
      <c r="D35" s="19" t="s">
        <v>12</v>
      </c>
      <c r="E35" s="17" t="s">
        <v>103</v>
      </c>
      <c r="F35" s="20"/>
      <c r="G35" s="21">
        <v>0.5</v>
      </c>
      <c r="H35" s="21">
        <v>0.5</v>
      </c>
      <c r="I35" s="26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22.5" customHeight="1" x14ac:dyDescent="0.25">
      <c r="A36" s="9" t="s">
        <v>104</v>
      </c>
      <c r="B36" s="10" t="s">
        <v>105</v>
      </c>
      <c r="C36" s="27" t="s">
        <v>16</v>
      </c>
      <c r="D36" s="12" t="s">
        <v>12</v>
      </c>
      <c r="E36" s="13"/>
      <c r="F36" s="13"/>
      <c r="G36" s="14">
        <v>3</v>
      </c>
      <c r="H36" s="14">
        <v>4</v>
      </c>
      <c r="I36" s="15">
        <v>2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22.5" customHeight="1" x14ac:dyDescent="0.25">
      <c r="A37" s="16" t="s">
        <v>106</v>
      </c>
      <c r="B37" s="17" t="s">
        <v>107</v>
      </c>
      <c r="C37" s="25" t="s">
        <v>16</v>
      </c>
      <c r="D37" s="19" t="s">
        <v>12</v>
      </c>
      <c r="E37" s="17" t="s">
        <v>108</v>
      </c>
      <c r="F37" s="20"/>
      <c r="G37" s="21">
        <v>4</v>
      </c>
      <c r="H37" s="21">
        <v>2</v>
      </c>
      <c r="I37" s="22">
        <v>2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22.5" customHeight="1" x14ac:dyDescent="0.25">
      <c r="A38" s="9" t="s">
        <v>109</v>
      </c>
      <c r="B38" s="10" t="s">
        <v>110</v>
      </c>
      <c r="C38" s="27" t="s">
        <v>16</v>
      </c>
      <c r="D38" s="12" t="s">
        <v>12</v>
      </c>
      <c r="E38" s="13"/>
      <c r="F38" s="13"/>
      <c r="G38" s="14">
        <v>0.5</v>
      </c>
      <c r="H38" s="14">
        <v>0.5</v>
      </c>
      <c r="I38" s="2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22.5" customHeight="1" x14ac:dyDescent="0.25">
      <c r="A39" s="16" t="s">
        <v>111</v>
      </c>
      <c r="B39" s="17" t="s">
        <v>112</v>
      </c>
      <c r="C39" s="29" t="s">
        <v>11</v>
      </c>
      <c r="D39" s="19" t="s">
        <v>12</v>
      </c>
      <c r="E39" s="17" t="s">
        <v>113</v>
      </c>
      <c r="F39" s="20"/>
      <c r="G39" s="21">
        <v>2</v>
      </c>
      <c r="H39" s="21">
        <v>3</v>
      </c>
      <c r="I39" s="22">
        <v>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22.5" customHeight="1" x14ac:dyDescent="0.25">
      <c r="A40" s="9" t="s">
        <v>114</v>
      </c>
      <c r="B40" s="10" t="s">
        <v>115</v>
      </c>
      <c r="C40" s="30" t="s">
        <v>11</v>
      </c>
      <c r="D40" s="12" t="s">
        <v>12</v>
      </c>
      <c r="E40" s="12" t="s">
        <v>116</v>
      </c>
      <c r="F40" s="13"/>
      <c r="G40" s="14">
        <v>2</v>
      </c>
      <c r="H40" s="14">
        <v>3</v>
      </c>
      <c r="I40" s="15">
        <v>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22.5" customHeight="1" x14ac:dyDescent="0.25">
      <c r="A41" s="16" t="s">
        <v>117</v>
      </c>
      <c r="B41" s="17" t="s">
        <v>118</v>
      </c>
      <c r="C41" s="29" t="s">
        <v>11</v>
      </c>
      <c r="D41" s="19" t="s">
        <v>12</v>
      </c>
      <c r="E41" s="17" t="s">
        <v>119</v>
      </c>
      <c r="F41" s="20"/>
      <c r="G41" s="21">
        <v>2</v>
      </c>
      <c r="H41" s="21">
        <v>1.5</v>
      </c>
      <c r="I41" s="22">
        <v>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22.5" customHeight="1" x14ac:dyDescent="0.25">
      <c r="A42" s="9" t="s">
        <v>120</v>
      </c>
      <c r="B42" s="10" t="s">
        <v>121</v>
      </c>
      <c r="C42" s="30" t="s">
        <v>11</v>
      </c>
      <c r="D42" s="12" t="s">
        <v>12</v>
      </c>
      <c r="E42" s="10" t="s">
        <v>122</v>
      </c>
      <c r="F42" s="13"/>
      <c r="G42" s="14">
        <v>1</v>
      </c>
      <c r="H42" s="14">
        <v>0.75</v>
      </c>
      <c r="I42" s="15">
        <v>0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22.5" customHeight="1" x14ac:dyDescent="0.25">
      <c r="A43" s="16" t="s">
        <v>123</v>
      </c>
      <c r="B43" s="17" t="s">
        <v>124</v>
      </c>
      <c r="C43" s="29" t="s">
        <v>11</v>
      </c>
      <c r="D43" s="19" t="s">
        <v>12</v>
      </c>
      <c r="E43" s="17" t="s">
        <v>125</v>
      </c>
      <c r="F43" s="20"/>
      <c r="G43" s="21">
        <v>1</v>
      </c>
      <c r="H43" s="21">
        <v>1</v>
      </c>
      <c r="I43" s="22">
        <v>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22.5" customHeight="1" x14ac:dyDescent="0.25">
      <c r="A44" s="9" t="s">
        <v>126</v>
      </c>
      <c r="B44" s="10" t="s">
        <v>127</v>
      </c>
      <c r="C44" s="30" t="s">
        <v>11</v>
      </c>
      <c r="D44" s="12" t="s">
        <v>12</v>
      </c>
      <c r="E44" s="10" t="s">
        <v>128</v>
      </c>
      <c r="F44" s="13"/>
      <c r="G44" s="14">
        <v>0.5</v>
      </c>
      <c r="H44" s="14">
        <v>0.5</v>
      </c>
      <c r="I44" s="15">
        <v>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2.5" customHeight="1" x14ac:dyDescent="0.25">
      <c r="A45" s="16" t="s">
        <v>129</v>
      </c>
      <c r="B45" s="17" t="s">
        <v>130</v>
      </c>
      <c r="C45" s="31" t="s">
        <v>28</v>
      </c>
      <c r="D45" s="19" t="s">
        <v>12</v>
      </c>
      <c r="E45" s="17" t="s">
        <v>131</v>
      </c>
      <c r="F45" s="20"/>
      <c r="G45" s="21">
        <v>1</v>
      </c>
      <c r="H45" s="21">
        <v>0.5</v>
      </c>
      <c r="I45" s="22">
        <v>0.3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22.5" customHeight="1" x14ac:dyDescent="0.25">
      <c r="A46" s="9" t="s">
        <v>132</v>
      </c>
      <c r="B46" s="10" t="s">
        <v>133</v>
      </c>
      <c r="C46" s="32" t="s">
        <v>28</v>
      </c>
      <c r="D46" s="12" t="s">
        <v>12</v>
      </c>
      <c r="E46" s="13"/>
      <c r="F46" s="13"/>
      <c r="G46" s="14">
        <v>1</v>
      </c>
      <c r="H46" s="14">
        <v>1</v>
      </c>
      <c r="I46" s="15">
        <v>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2.5" customHeight="1" x14ac:dyDescent="0.25">
      <c r="A47" s="16" t="s">
        <v>134</v>
      </c>
      <c r="B47" s="17" t="s">
        <v>135</v>
      </c>
      <c r="C47" s="31" t="s">
        <v>28</v>
      </c>
      <c r="D47" s="19" t="s">
        <v>12</v>
      </c>
      <c r="E47" s="17" t="s">
        <v>131</v>
      </c>
      <c r="F47" s="20"/>
      <c r="G47" s="21">
        <v>2</v>
      </c>
      <c r="H47" s="21">
        <v>3</v>
      </c>
      <c r="I47" s="22">
        <v>0.2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22.5" customHeight="1" x14ac:dyDescent="0.25">
      <c r="A48" s="33" t="s">
        <v>136</v>
      </c>
      <c r="B48" s="34" t="s">
        <v>137</v>
      </c>
      <c r="C48" s="35" t="s">
        <v>28</v>
      </c>
      <c r="D48" s="36" t="s">
        <v>12</v>
      </c>
      <c r="E48" s="34" t="s">
        <v>138</v>
      </c>
      <c r="F48" s="37"/>
      <c r="G48" s="38">
        <v>2</v>
      </c>
      <c r="H48" s="38">
        <v>2.5</v>
      </c>
      <c r="I48" s="39">
        <v>1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22.5" customHeight="1" x14ac:dyDescent="0.25">
      <c r="A51" s="5" t="s">
        <v>0</v>
      </c>
      <c r="B51" s="6" t="s">
        <v>1</v>
      </c>
      <c r="C51" s="6" t="s">
        <v>2</v>
      </c>
      <c r="D51" s="6" t="s">
        <v>3</v>
      </c>
      <c r="E51" s="6" t="s">
        <v>4</v>
      </c>
      <c r="F51" s="6" t="s">
        <v>8</v>
      </c>
      <c r="G51" s="6" t="s">
        <v>5</v>
      </c>
      <c r="H51" s="6" t="s">
        <v>6</v>
      </c>
      <c r="I51" s="7" t="s">
        <v>7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22.5" customHeight="1" x14ac:dyDescent="0.25">
      <c r="A52" s="9" t="s">
        <v>139</v>
      </c>
      <c r="B52" s="10" t="s">
        <v>140</v>
      </c>
      <c r="C52" s="11" t="s">
        <v>38</v>
      </c>
      <c r="D52" s="12" t="s">
        <v>12</v>
      </c>
      <c r="E52" s="10" t="s">
        <v>141</v>
      </c>
      <c r="F52" s="13"/>
      <c r="G52" s="14">
        <v>0.5</v>
      </c>
      <c r="H52" s="14">
        <v>0.5</v>
      </c>
      <c r="I52" s="15">
        <v>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22.5" customHeight="1" x14ac:dyDescent="0.25">
      <c r="A53" s="16" t="s">
        <v>142</v>
      </c>
      <c r="B53" s="17" t="s">
        <v>143</v>
      </c>
      <c r="C53" s="18" t="s">
        <v>38</v>
      </c>
      <c r="D53" s="19" t="s">
        <v>12</v>
      </c>
      <c r="E53" s="17" t="s">
        <v>144</v>
      </c>
      <c r="F53" s="20"/>
      <c r="G53" s="21">
        <v>2</v>
      </c>
      <c r="H53" s="21">
        <v>2</v>
      </c>
      <c r="I53" s="22">
        <v>1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22.5" customHeight="1" x14ac:dyDescent="0.25">
      <c r="A54" s="9" t="s">
        <v>145</v>
      </c>
      <c r="B54" s="10" t="s">
        <v>146</v>
      </c>
      <c r="C54" s="11" t="s">
        <v>38</v>
      </c>
      <c r="D54" s="12" t="s">
        <v>12</v>
      </c>
      <c r="E54" s="10" t="s">
        <v>147</v>
      </c>
      <c r="F54" s="13"/>
      <c r="G54" s="14">
        <v>0.5</v>
      </c>
      <c r="H54" s="14">
        <v>0.5</v>
      </c>
      <c r="I54" s="15">
        <v>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22.5" customHeight="1" x14ac:dyDescent="0.25">
      <c r="A55" s="16" t="s">
        <v>148</v>
      </c>
      <c r="B55" s="17" t="s">
        <v>149</v>
      </c>
      <c r="C55" s="23" t="s">
        <v>19</v>
      </c>
      <c r="D55" s="19" t="s">
        <v>12</v>
      </c>
      <c r="E55" s="17" t="s">
        <v>150</v>
      </c>
      <c r="F55" s="20"/>
      <c r="G55" s="21">
        <v>0.5</v>
      </c>
      <c r="H55" s="21">
        <v>0.5</v>
      </c>
      <c r="I55" s="22">
        <v>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22.5" customHeight="1" x14ac:dyDescent="0.25">
      <c r="A56" s="9" t="s">
        <v>151</v>
      </c>
      <c r="B56" s="10" t="s">
        <v>152</v>
      </c>
      <c r="C56" s="24" t="s">
        <v>19</v>
      </c>
      <c r="D56" s="12" t="s">
        <v>12</v>
      </c>
      <c r="E56" s="10" t="s">
        <v>153</v>
      </c>
      <c r="F56" s="13"/>
      <c r="G56" s="14">
        <v>0.5</v>
      </c>
      <c r="H56" s="14">
        <v>0.5</v>
      </c>
      <c r="I56" s="15">
        <v>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22.5" customHeight="1" x14ac:dyDescent="0.25">
      <c r="A57" s="16" t="s">
        <v>154</v>
      </c>
      <c r="B57" s="17" t="s">
        <v>155</v>
      </c>
      <c r="C57" s="23" t="s">
        <v>19</v>
      </c>
      <c r="D57" s="19" t="s">
        <v>12</v>
      </c>
      <c r="E57" s="17" t="s">
        <v>156</v>
      </c>
      <c r="F57" s="20"/>
      <c r="G57" s="21">
        <v>0.5</v>
      </c>
      <c r="H57" s="21">
        <v>0.5</v>
      </c>
      <c r="I57" s="22">
        <v>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22.5" customHeight="1" x14ac:dyDescent="0.25">
      <c r="A58" s="9" t="s">
        <v>157</v>
      </c>
      <c r="B58" s="10" t="s">
        <v>158</v>
      </c>
      <c r="C58" s="24" t="s">
        <v>19</v>
      </c>
      <c r="D58" s="12" t="s">
        <v>12</v>
      </c>
      <c r="E58" s="10" t="s">
        <v>159</v>
      </c>
      <c r="F58" s="13"/>
      <c r="G58" s="14">
        <v>0.5</v>
      </c>
      <c r="H58" s="14">
        <v>0.5</v>
      </c>
      <c r="I58" s="15">
        <v>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22.5" customHeight="1" x14ac:dyDescent="0.25">
      <c r="A59" s="16" t="s">
        <v>160</v>
      </c>
      <c r="B59" s="17" t="s">
        <v>161</v>
      </c>
      <c r="C59" s="23" t="s">
        <v>19</v>
      </c>
      <c r="D59" s="19" t="s">
        <v>12</v>
      </c>
      <c r="E59" s="17" t="s">
        <v>162</v>
      </c>
      <c r="F59" s="20"/>
      <c r="G59" s="21">
        <v>0.5</v>
      </c>
      <c r="H59" s="21">
        <v>1</v>
      </c>
      <c r="I59" s="22">
        <v>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22.5" customHeight="1" x14ac:dyDescent="0.25">
      <c r="A60" s="9" t="s">
        <v>163</v>
      </c>
      <c r="B60" s="10" t="s">
        <v>164</v>
      </c>
      <c r="C60" s="24" t="s">
        <v>19</v>
      </c>
      <c r="D60" s="12" t="s">
        <v>12</v>
      </c>
      <c r="E60" s="10" t="s">
        <v>165</v>
      </c>
      <c r="F60" s="13"/>
      <c r="G60" s="14">
        <v>0.5</v>
      </c>
      <c r="H60" s="14">
        <v>0.5</v>
      </c>
      <c r="I60" s="15">
        <v>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22.5" customHeight="1" x14ac:dyDescent="0.25">
      <c r="A61" s="16" t="s">
        <v>166</v>
      </c>
      <c r="B61" s="17" t="s">
        <v>167</v>
      </c>
      <c r="C61" s="23" t="s">
        <v>19</v>
      </c>
      <c r="D61" s="19" t="s">
        <v>12</v>
      </c>
      <c r="E61" s="17" t="s">
        <v>168</v>
      </c>
      <c r="F61" s="20"/>
      <c r="G61" s="21">
        <v>0.5</v>
      </c>
      <c r="H61" s="21">
        <v>0.5</v>
      </c>
      <c r="I61" s="22">
        <v>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22.5" customHeight="1" x14ac:dyDescent="0.25">
      <c r="A62" s="9" t="s">
        <v>169</v>
      </c>
      <c r="B62" s="10" t="s">
        <v>170</v>
      </c>
      <c r="C62" s="24" t="s">
        <v>19</v>
      </c>
      <c r="D62" s="12" t="s">
        <v>12</v>
      </c>
      <c r="E62" s="10" t="s">
        <v>171</v>
      </c>
      <c r="F62" s="13"/>
      <c r="G62" s="14">
        <v>1</v>
      </c>
      <c r="H62" s="14">
        <v>1</v>
      </c>
      <c r="I62" s="15">
        <v>0.5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22.5" customHeight="1" x14ac:dyDescent="0.25">
      <c r="A63" s="16" t="s">
        <v>172</v>
      </c>
      <c r="B63" s="17" t="s">
        <v>173</v>
      </c>
      <c r="C63" s="23" t="s">
        <v>19</v>
      </c>
      <c r="D63" s="19" t="s">
        <v>12</v>
      </c>
      <c r="E63" s="17" t="s">
        <v>174</v>
      </c>
      <c r="F63" s="20"/>
      <c r="G63" s="21">
        <v>2</v>
      </c>
      <c r="H63" s="21">
        <v>3</v>
      </c>
      <c r="I63" s="22">
        <v>1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22.5" customHeight="1" x14ac:dyDescent="0.25">
      <c r="A64" s="9" t="s">
        <v>175</v>
      </c>
      <c r="B64" s="10" t="s">
        <v>176</v>
      </c>
      <c r="C64" s="24" t="s">
        <v>19</v>
      </c>
      <c r="D64" s="12" t="s">
        <v>12</v>
      </c>
      <c r="E64" s="10" t="s">
        <v>174</v>
      </c>
      <c r="F64" s="13"/>
      <c r="G64" s="14">
        <v>0.5</v>
      </c>
      <c r="H64" s="14">
        <v>0.5</v>
      </c>
      <c r="I64" s="15">
        <v>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22.5" customHeight="1" x14ac:dyDescent="0.25">
      <c r="A65" s="16" t="s">
        <v>177</v>
      </c>
      <c r="B65" s="17" t="s">
        <v>178</v>
      </c>
      <c r="C65" s="25" t="s">
        <v>16</v>
      </c>
      <c r="D65" s="19" t="s">
        <v>12</v>
      </c>
      <c r="E65" s="17" t="s">
        <v>179</v>
      </c>
      <c r="F65" s="20"/>
      <c r="G65" s="21">
        <v>2</v>
      </c>
      <c r="H65" s="21">
        <v>4</v>
      </c>
      <c r="I65" s="22">
        <v>1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22.5" customHeight="1" x14ac:dyDescent="0.25">
      <c r="A66" s="9" t="s">
        <v>180</v>
      </c>
      <c r="B66" s="10" t="s">
        <v>181</v>
      </c>
      <c r="C66" s="27" t="s">
        <v>16</v>
      </c>
      <c r="D66" s="12" t="s">
        <v>12</v>
      </c>
      <c r="E66" s="10" t="s">
        <v>182</v>
      </c>
      <c r="F66" s="13"/>
      <c r="G66" s="14">
        <v>0.25</v>
      </c>
      <c r="H66" s="14">
        <v>0.25</v>
      </c>
      <c r="I66" s="15">
        <v>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22.5" customHeight="1" x14ac:dyDescent="0.25">
      <c r="A67" s="16" t="s">
        <v>183</v>
      </c>
      <c r="B67" s="17" t="s">
        <v>184</v>
      </c>
      <c r="C67" s="25" t="s">
        <v>16</v>
      </c>
      <c r="D67" s="19" t="s">
        <v>12</v>
      </c>
      <c r="E67" s="17" t="s">
        <v>185</v>
      </c>
      <c r="F67" s="20"/>
      <c r="G67" s="21">
        <v>0.25</v>
      </c>
      <c r="H67" s="21">
        <v>0.25</v>
      </c>
      <c r="I67" s="22">
        <v>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22.5" customHeight="1" x14ac:dyDescent="0.25">
      <c r="A68" s="9" t="s">
        <v>186</v>
      </c>
      <c r="B68" s="10" t="s">
        <v>187</v>
      </c>
      <c r="C68" s="27" t="s">
        <v>16</v>
      </c>
      <c r="D68" s="12" t="s">
        <v>12</v>
      </c>
      <c r="E68" s="10" t="s">
        <v>188</v>
      </c>
      <c r="F68" s="13"/>
      <c r="G68" s="14">
        <v>0.5</v>
      </c>
      <c r="H68" s="14">
        <v>0.5</v>
      </c>
      <c r="I68" s="15">
        <v>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22.5" customHeight="1" x14ac:dyDescent="0.25">
      <c r="A69" s="16" t="s">
        <v>189</v>
      </c>
      <c r="B69" s="17" t="s">
        <v>190</v>
      </c>
      <c r="C69" s="25" t="s">
        <v>16</v>
      </c>
      <c r="D69" s="19" t="s">
        <v>12</v>
      </c>
      <c r="E69" s="17" t="s">
        <v>191</v>
      </c>
      <c r="F69" s="20"/>
      <c r="G69" s="21">
        <v>1</v>
      </c>
      <c r="H69" s="21">
        <v>1</v>
      </c>
      <c r="I69" s="22">
        <v>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22.5" customHeight="1" x14ac:dyDescent="0.25">
      <c r="A70" s="9" t="s">
        <v>192</v>
      </c>
      <c r="B70" s="10" t="s">
        <v>193</v>
      </c>
      <c r="C70" s="27" t="s">
        <v>16</v>
      </c>
      <c r="D70" s="12" t="s">
        <v>12</v>
      </c>
      <c r="E70" s="10" t="s">
        <v>194</v>
      </c>
      <c r="F70" s="13"/>
      <c r="G70" s="14">
        <v>0.25</v>
      </c>
      <c r="H70" s="14">
        <v>0.25</v>
      </c>
      <c r="I70" s="15">
        <v>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22.5" customHeight="1" x14ac:dyDescent="0.25">
      <c r="A71" s="16" t="s">
        <v>195</v>
      </c>
      <c r="B71" s="17" t="s">
        <v>196</v>
      </c>
      <c r="C71" s="25" t="s">
        <v>16</v>
      </c>
      <c r="D71" s="19" t="s">
        <v>12</v>
      </c>
      <c r="E71" s="17" t="s">
        <v>197</v>
      </c>
      <c r="F71" s="20"/>
      <c r="G71" s="21">
        <v>4</v>
      </c>
      <c r="H71" s="21">
        <v>3</v>
      </c>
      <c r="I71" s="22">
        <v>2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22.5" customHeight="1" x14ac:dyDescent="0.25">
      <c r="A72" s="9" t="s">
        <v>198</v>
      </c>
      <c r="B72" s="10" t="s">
        <v>199</v>
      </c>
      <c r="C72" s="30" t="s">
        <v>11</v>
      </c>
      <c r="D72" s="12" t="s">
        <v>12</v>
      </c>
      <c r="E72" s="12" t="s">
        <v>200</v>
      </c>
      <c r="F72" s="13"/>
      <c r="G72" s="14">
        <v>3</v>
      </c>
      <c r="H72" s="14">
        <v>3</v>
      </c>
      <c r="I72" s="15">
        <v>0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22.5" customHeight="1" x14ac:dyDescent="0.25">
      <c r="A73" s="16" t="s">
        <v>201</v>
      </c>
      <c r="B73" s="17" t="s">
        <v>202</v>
      </c>
      <c r="C73" s="29" t="s">
        <v>11</v>
      </c>
      <c r="D73" s="19" t="s">
        <v>12</v>
      </c>
      <c r="E73" s="17" t="s">
        <v>203</v>
      </c>
      <c r="F73" s="20"/>
      <c r="G73" s="21">
        <v>2.5</v>
      </c>
      <c r="H73" s="21">
        <v>3</v>
      </c>
      <c r="I73" s="22">
        <v>0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22.5" customHeight="1" x14ac:dyDescent="0.25">
      <c r="A74" s="9" t="s">
        <v>204</v>
      </c>
      <c r="B74" s="10" t="s">
        <v>205</v>
      </c>
      <c r="C74" s="30" t="s">
        <v>11</v>
      </c>
      <c r="D74" s="12" t="s">
        <v>12</v>
      </c>
      <c r="E74" s="12" t="s">
        <v>206</v>
      </c>
      <c r="F74" s="13"/>
      <c r="G74" s="14">
        <v>3</v>
      </c>
      <c r="H74" s="14">
        <v>3</v>
      </c>
      <c r="I74" s="15">
        <v>2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22.5" customHeight="1" x14ac:dyDescent="0.25">
      <c r="A75" s="16" t="s">
        <v>207</v>
      </c>
      <c r="B75" s="17" t="s">
        <v>208</v>
      </c>
      <c r="C75" s="29" t="s">
        <v>11</v>
      </c>
      <c r="D75" s="19" t="s">
        <v>12</v>
      </c>
      <c r="E75" s="17" t="s">
        <v>209</v>
      </c>
      <c r="F75" s="20"/>
      <c r="G75" s="21">
        <v>1</v>
      </c>
      <c r="H75" s="21">
        <v>0.75</v>
      </c>
      <c r="I75" s="22">
        <v>0.25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22.5" customHeight="1" x14ac:dyDescent="0.25">
      <c r="A76" s="9" t="s">
        <v>210</v>
      </c>
      <c r="B76" s="10" t="s">
        <v>211</v>
      </c>
      <c r="C76" s="30" t="s">
        <v>11</v>
      </c>
      <c r="D76" s="12" t="s">
        <v>12</v>
      </c>
      <c r="E76" s="10" t="s">
        <v>212</v>
      </c>
      <c r="F76" s="13"/>
      <c r="G76" s="14">
        <v>3</v>
      </c>
      <c r="H76" s="14">
        <v>1.5</v>
      </c>
      <c r="I76" s="15">
        <v>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22.5" customHeight="1" x14ac:dyDescent="0.25">
      <c r="A77" s="16" t="s">
        <v>51</v>
      </c>
      <c r="B77" s="17" t="s">
        <v>213</v>
      </c>
      <c r="C77" s="29" t="s">
        <v>11</v>
      </c>
      <c r="D77" s="19" t="s">
        <v>12</v>
      </c>
      <c r="E77" s="17" t="s">
        <v>214</v>
      </c>
      <c r="F77" s="20"/>
      <c r="G77" s="21">
        <v>0.5</v>
      </c>
      <c r="H77" s="21">
        <v>0.5</v>
      </c>
      <c r="I77" s="22">
        <v>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22.5" customHeight="1" x14ac:dyDescent="0.25">
      <c r="A78" s="9" t="s">
        <v>215</v>
      </c>
      <c r="B78" s="10" t="s">
        <v>216</v>
      </c>
      <c r="C78" s="32" t="s">
        <v>28</v>
      </c>
      <c r="D78" s="12" t="s">
        <v>12</v>
      </c>
      <c r="E78" s="13"/>
      <c r="F78" s="13"/>
      <c r="G78" s="40"/>
      <c r="H78" s="40"/>
      <c r="I78" s="2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22.5" customHeight="1" x14ac:dyDescent="0.25">
      <c r="A79" s="16" t="s">
        <v>217</v>
      </c>
      <c r="B79" s="17" t="s">
        <v>218</v>
      </c>
      <c r="C79" s="31" t="s">
        <v>28</v>
      </c>
      <c r="D79" s="19" t="s">
        <v>12</v>
      </c>
      <c r="E79" s="17" t="s">
        <v>219</v>
      </c>
      <c r="F79" s="20"/>
      <c r="G79" s="21">
        <v>0.5</v>
      </c>
      <c r="H79" s="21">
        <v>0.5</v>
      </c>
      <c r="I79" s="22">
        <v>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22.5" customHeight="1" x14ac:dyDescent="0.25">
      <c r="A80" s="9" t="s">
        <v>220</v>
      </c>
      <c r="B80" s="10" t="s">
        <v>221</v>
      </c>
      <c r="C80" s="32" t="s">
        <v>28</v>
      </c>
      <c r="D80" s="12" t="s">
        <v>12</v>
      </c>
      <c r="E80" s="13"/>
      <c r="F80" s="13"/>
      <c r="G80" s="14">
        <v>0.5</v>
      </c>
      <c r="H80" s="14">
        <v>0</v>
      </c>
      <c r="I80" s="15">
        <v>0.5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2.5" customHeight="1" x14ac:dyDescent="0.25">
      <c r="A81" s="16" t="s">
        <v>222</v>
      </c>
      <c r="B81" s="17" t="s">
        <v>223</v>
      </c>
      <c r="C81" s="31" t="s">
        <v>28</v>
      </c>
      <c r="D81" s="19" t="s">
        <v>12</v>
      </c>
      <c r="E81" s="17" t="s">
        <v>224</v>
      </c>
      <c r="F81" s="20"/>
      <c r="G81" s="21">
        <v>0.5</v>
      </c>
      <c r="H81" s="21">
        <v>1</v>
      </c>
      <c r="I81" s="22">
        <v>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22.5" customHeight="1" x14ac:dyDescent="0.25">
      <c r="A82" s="9" t="s">
        <v>225</v>
      </c>
      <c r="B82" s="10" t="s">
        <v>226</v>
      </c>
      <c r="C82" s="32" t="s">
        <v>28</v>
      </c>
      <c r="D82" s="12" t="s">
        <v>12</v>
      </c>
      <c r="E82" s="10" t="s">
        <v>227</v>
      </c>
      <c r="F82" s="13"/>
      <c r="G82" s="14">
        <v>1</v>
      </c>
      <c r="H82" s="14">
        <v>1</v>
      </c>
      <c r="I82" s="15">
        <v>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22.5" customHeight="1" x14ac:dyDescent="0.25">
      <c r="A83" s="16" t="s">
        <v>228</v>
      </c>
      <c r="B83" s="17" t="s">
        <v>229</v>
      </c>
      <c r="C83" s="31" t="s">
        <v>28</v>
      </c>
      <c r="D83" s="19" t="s">
        <v>12</v>
      </c>
      <c r="E83" s="17" t="s">
        <v>230</v>
      </c>
      <c r="F83" s="20"/>
      <c r="G83" s="21">
        <v>1</v>
      </c>
      <c r="H83" s="21">
        <v>1</v>
      </c>
      <c r="I83" s="22">
        <v>0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22.5" customHeight="1" x14ac:dyDescent="0.25">
      <c r="A84" s="9" t="s">
        <v>231</v>
      </c>
      <c r="B84" s="10" t="s">
        <v>232</v>
      </c>
      <c r="C84" s="32" t="s">
        <v>28</v>
      </c>
      <c r="D84" s="12" t="s">
        <v>12</v>
      </c>
      <c r="E84" s="41" t="s">
        <v>233</v>
      </c>
      <c r="F84" s="13"/>
      <c r="G84" s="14">
        <v>0.5</v>
      </c>
      <c r="H84" s="14">
        <v>0.5</v>
      </c>
      <c r="I84" s="15">
        <v>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22.5" customHeight="1" x14ac:dyDescent="0.25">
      <c r="A85" s="16" t="s">
        <v>234</v>
      </c>
      <c r="B85" s="17" t="s">
        <v>235</v>
      </c>
      <c r="C85" s="31" t="s">
        <v>28</v>
      </c>
      <c r="D85" s="19" t="s">
        <v>12</v>
      </c>
      <c r="E85" s="42" t="s">
        <v>236</v>
      </c>
      <c r="F85" s="20"/>
      <c r="G85" s="21">
        <v>1</v>
      </c>
      <c r="H85" s="21">
        <v>1</v>
      </c>
      <c r="I85" s="22">
        <v>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22.5" customHeight="1" x14ac:dyDescent="0.25">
      <c r="A86" s="9" t="s">
        <v>237</v>
      </c>
      <c r="B86" s="10" t="s">
        <v>238</v>
      </c>
      <c r="C86" s="32" t="s">
        <v>28</v>
      </c>
      <c r="D86" s="12" t="s">
        <v>12</v>
      </c>
      <c r="E86" s="41" t="s">
        <v>239</v>
      </c>
      <c r="F86" s="13"/>
      <c r="G86" s="14">
        <v>2</v>
      </c>
      <c r="H86" s="14">
        <v>3</v>
      </c>
      <c r="I86" s="15">
        <v>0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22.5" customHeight="1" x14ac:dyDescent="0.25">
      <c r="A87" s="16" t="s">
        <v>240</v>
      </c>
      <c r="B87" s="17" t="s">
        <v>241</v>
      </c>
      <c r="C87" s="31" t="s">
        <v>28</v>
      </c>
      <c r="D87" s="19" t="s">
        <v>12</v>
      </c>
      <c r="E87" s="17" t="s">
        <v>242</v>
      </c>
      <c r="F87" s="20"/>
      <c r="G87" s="21">
        <v>1</v>
      </c>
      <c r="H87" s="21">
        <v>1.5</v>
      </c>
      <c r="I87" s="22">
        <v>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22.5" customHeight="1" x14ac:dyDescent="0.25">
      <c r="A88" s="9" t="s">
        <v>243</v>
      </c>
      <c r="B88" s="10" t="s">
        <v>244</v>
      </c>
      <c r="C88" s="32" t="s">
        <v>28</v>
      </c>
      <c r="D88" s="12" t="s">
        <v>12</v>
      </c>
      <c r="E88" s="10" t="s">
        <v>245</v>
      </c>
      <c r="F88" s="13"/>
      <c r="G88" s="14">
        <v>1</v>
      </c>
      <c r="H88" s="14">
        <v>1</v>
      </c>
      <c r="I88" s="15">
        <v>0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22.5" customHeight="1" x14ac:dyDescent="0.25">
      <c r="A89" s="16" t="s">
        <v>246</v>
      </c>
      <c r="B89" s="17" t="s">
        <v>247</v>
      </c>
      <c r="C89" s="31" t="s">
        <v>28</v>
      </c>
      <c r="D89" s="19" t="s">
        <v>12</v>
      </c>
      <c r="E89" s="42" t="s">
        <v>248</v>
      </c>
      <c r="F89" s="20"/>
      <c r="G89" s="21">
        <v>1</v>
      </c>
      <c r="H89" s="21">
        <v>1</v>
      </c>
      <c r="I89" s="22">
        <v>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5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5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5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5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5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5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5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5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5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5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5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5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5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5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5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2.5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2.5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 ht="12.5" x14ac:dyDescent="0.2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spans="1:26" ht="12.5" x14ac:dyDescent="0.2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spans="1:26" ht="12.5" x14ac:dyDescent="0.2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spans="1:26" ht="12.5" x14ac:dyDescent="0.25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spans="1:26" ht="12.5" x14ac:dyDescent="0.2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spans="1:26" ht="12.5" x14ac:dyDescent="0.25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spans="1:26" ht="12.5" x14ac:dyDescent="0.2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spans="1:26" ht="12.5" x14ac:dyDescent="0.25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spans="1:26" ht="12.5" x14ac:dyDescent="0.2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spans="1:26" ht="12.5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spans="1:26" ht="12.5" x14ac:dyDescent="0.2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spans="1:26" ht="12.5" x14ac:dyDescent="0.25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spans="1:26" ht="12.5" x14ac:dyDescent="0.2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spans="1:26" ht="12.5" x14ac:dyDescent="0.25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spans="1:26" ht="12.5" x14ac:dyDescent="0.25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spans="1:26" ht="12.5" x14ac:dyDescent="0.25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spans="1:26" ht="12.5" x14ac:dyDescent="0.2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spans="1:26" ht="12.5" x14ac:dyDescent="0.25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spans="1:26" ht="12.5" x14ac:dyDescent="0.25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spans="1:26" ht="12.5" x14ac:dyDescent="0.25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spans="1:26" ht="12.5" x14ac:dyDescent="0.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spans="1:26" ht="12.5" x14ac:dyDescent="0.2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spans="1:26" ht="12.5" x14ac:dyDescent="0.2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spans="1:26" ht="12.5" x14ac:dyDescent="0.25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spans="1:26" ht="12.5" x14ac:dyDescent="0.25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spans="1:26" ht="12.5" x14ac:dyDescent="0.25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spans="1:26" ht="12.5" x14ac:dyDescent="0.25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spans="1:26" ht="12.5" x14ac:dyDescent="0.25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spans="1:26" ht="12.5" x14ac:dyDescent="0.25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spans="1:26" ht="12.5" x14ac:dyDescent="0.25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spans="1:26" ht="12.5" x14ac:dyDescent="0.2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spans="1:26" ht="12.5" x14ac:dyDescent="0.2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spans="1:26" ht="12.5" x14ac:dyDescent="0.25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spans="1:26" ht="12.5" x14ac:dyDescent="0.25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spans="1:26" ht="12.5" x14ac:dyDescent="0.25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spans="1:26" ht="12.5" x14ac:dyDescent="0.25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spans="1:26" ht="12.5" x14ac:dyDescent="0.2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spans="1:26" ht="12.5" x14ac:dyDescent="0.2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spans="1:26" ht="12.5" x14ac:dyDescent="0.2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spans="1:26" ht="12.5" x14ac:dyDescent="0.25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spans="1:26" ht="12.5" x14ac:dyDescent="0.2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spans="1:26" ht="12.5" x14ac:dyDescent="0.2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spans="1:26" ht="12.5" x14ac:dyDescent="0.25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spans="1:26" ht="12.5" x14ac:dyDescent="0.25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spans="1:26" ht="12.5" x14ac:dyDescent="0.2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spans="1:26" ht="12.5" x14ac:dyDescent="0.25"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</sheetData>
  <dataValidations count="3">
    <dataValidation type="list" allowBlank="1" showDropDown="1" showErrorMessage="1" sqref="C22:C48 C52:C89" xr:uid="{00000000-0002-0000-0000-000000000000}">
      <formula1>"cbxiii,ethnchiu,g3rr1c,KateHamada,tjlacasio"</formula1>
    </dataValidation>
    <dataValidation type="list" allowBlank="1" showDropDown="1" showErrorMessage="1" sqref="C2:C18" xr:uid="{00000000-0002-0000-0000-000001000000}">
      <formula1>"KateHamada,g3rr1c,ethnchiu,tjlacasio,cbxiii"</formula1>
    </dataValidation>
    <dataValidation type="custom" allowBlank="1" showDropDown="1" sqref="G22:I48 G52:I89" xr:uid="{00000000-0002-0000-0000-000002000000}">
      <formula1>AND(ISNUMBER(G22),(NOT(OR(NOT(ISERROR(DATEVALUE(G22))), AND(ISNUMBER(G22), LEFT(CELL("format", G22))="D")))))</formula1>
    </dataValidation>
  </dataValidations>
  <hyperlinks>
    <hyperlink ref="B2" r:id="rId1" xr:uid="{00000000-0004-0000-0000-000000000000}"/>
    <hyperlink ref="E2" r:id="rId2" xr:uid="{00000000-0004-0000-0000-000001000000}"/>
    <hyperlink ref="B3" r:id="rId3" xr:uid="{00000000-0004-0000-0000-000002000000}"/>
    <hyperlink ref="B4" r:id="rId4" xr:uid="{00000000-0004-0000-0000-000003000000}"/>
    <hyperlink ref="B5" r:id="rId5" xr:uid="{00000000-0004-0000-0000-000004000000}"/>
    <hyperlink ref="E5" r:id="rId6" xr:uid="{00000000-0004-0000-0000-000005000000}"/>
    <hyperlink ref="B6" r:id="rId7" xr:uid="{00000000-0004-0000-0000-000006000000}"/>
    <hyperlink ref="E6" r:id="rId8" xr:uid="{00000000-0004-0000-0000-000007000000}"/>
    <hyperlink ref="B7" r:id="rId9" xr:uid="{00000000-0004-0000-0000-000008000000}"/>
    <hyperlink ref="E7" r:id="rId10" xr:uid="{00000000-0004-0000-0000-000009000000}"/>
    <hyperlink ref="B8" r:id="rId11" xr:uid="{00000000-0004-0000-0000-00000A000000}"/>
    <hyperlink ref="E8" r:id="rId12" xr:uid="{00000000-0004-0000-0000-00000B000000}"/>
    <hyperlink ref="B9" r:id="rId13" xr:uid="{00000000-0004-0000-0000-00000C000000}"/>
    <hyperlink ref="E9" r:id="rId14" xr:uid="{00000000-0004-0000-0000-00000D000000}"/>
    <hyperlink ref="B10" r:id="rId15" xr:uid="{00000000-0004-0000-0000-00000E000000}"/>
    <hyperlink ref="E10" r:id="rId16" xr:uid="{00000000-0004-0000-0000-00000F000000}"/>
    <hyperlink ref="B11" r:id="rId17" xr:uid="{00000000-0004-0000-0000-000010000000}"/>
    <hyperlink ref="B12" r:id="rId18" xr:uid="{00000000-0004-0000-0000-000011000000}"/>
    <hyperlink ref="E12" r:id="rId19" xr:uid="{00000000-0004-0000-0000-000012000000}"/>
    <hyperlink ref="B13" r:id="rId20" xr:uid="{00000000-0004-0000-0000-000013000000}"/>
    <hyperlink ref="E13" r:id="rId21" xr:uid="{00000000-0004-0000-0000-000014000000}"/>
    <hyperlink ref="B14" r:id="rId22" xr:uid="{00000000-0004-0000-0000-000015000000}"/>
    <hyperlink ref="E14" r:id="rId23" xr:uid="{00000000-0004-0000-0000-000016000000}"/>
    <hyperlink ref="B15" r:id="rId24" xr:uid="{00000000-0004-0000-0000-000017000000}"/>
    <hyperlink ref="E15" r:id="rId25" xr:uid="{00000000-0004-0000-0000-000018000000}"/>
    <hyperlink ref="B16" r:id="rId26" xr:uid="{00000000-0004-0000-0000-000019000000}"/>
    <hyperlink ref="B17" r:id="rId27" xr:uid="{00000000-0004-0000-0000-00001A000000}"/>
    <hyperlink ref="E17" r:id="rId28" xr:uid="{00000000-0004-0000-0000-00001B000000}"/>
    <hyperlink ref="B18" r:id="rId29" xr:uid="{00000000-0004-0000-0000-00001C000000}"/>
    <hyperlink ref="B22" r:id="rId30" xr:uid="{00000000-0004-0000-0000-00001D000000}"/>
    <hyperlink ref="E22" r:id="rId31" xr:uid="{00000000-0004-0000-0000-00001E000000}"/>
    <hyperlink ref="B23" r:id="rId32" xr:uid="{00000000-0004-0000-0000-00001F000000}"/>
    <hyperlink ref="E23" r:id="rId33" xr:uid="{00000000-0004-0000-0000-000020000000}"/>
    <hyperlink ref="B24" r:id="rId34" xr:uid="{00000000-0004-0000-0000-000021000000}"/>
    <hyperlink ref="E24" r:id="rId35" xr:uid="{00000000-0004-0000-0000-000022000000}"/>
    <hyperlink ref="B25" r:id="rId36" xr:uid="{00000000-0004-0000-0000-000023000000}"/>
    <hyperlink ref="E25" r:id="rId37" xr:uid="{00000000-0004-0000-0000-000024000000}"/>
    <hyperlink ref="B26" r:id="rId38" xr:uid="{00000000-0004-0000-0000-000025000000}"/>
    <hyperlink ref="E26" r:id="rId39" xr:uid="{00000000-0004-0000-0000-000026000000}"/>
    <hyperlink ref="B27" r:id="rId40" xr:uid="{00000000-0004-0000-0000-000027000000}"/>
    <hyperlink ref="E27" r:id="rId41" xr:uid="{00000000-0004-0000-0000-000028000000}"/>
    <hyperlink ref="B28" r:id="rId42" xr:uid="{00000000-0004-0000-0000-000029000000}"/>
    <hyperlink ref="E28" r:id="rId43" xr:uid="{00000000-0004-0000-0000-00002A000000}"/>
    <hyperlink ref="B29" r:id="rId44" xr:uid="{00000000-0004-0000-0000-00002B000000}"/>
    <hyperlink ref="E29" r:id="rId45" xr:uid="{00000000-0004-0000-0000-00002C000000}"/>
    <hyperlink ref="B30" r:id="rId46" xr:uid="{00000000-0004-0000-0000-00002D000000}"/>
    <hyperlink ref="E30" r:id="rId47" xr:uid="{00000000-0004-0000-0000-00002E000000}"/>
    <hyperlink ref="B31" r:id="rId48" xr:uid="{00000000-0004-0000-0000-00002F000000}"/>
    <hyperlink ref="E31" r:id="rId49" xr:uid="{00000000-0004-0000-0000-000030000000}"/>
    <hyperlink ref="B32" r:id="rId50" xr:uid="{00000000-0004-0000-0000-000031000000}"/>
    <hyperlink ref="E32" r:id="rId51" xr:uid="{00000000-0004-0000-0000-000032000000}"/>
    <hyperlink ref="B33" r:id="rId52" xr:uid="{00000000-0004-0000-0000-000033000000}"/>
    <hyperlink ref="E33" r:id="rId53" xr:uid="{00000000-0004-0000-0000-000034000000}"/>
    <hyperlink ref="B34" r:id="rId54" xr:uid="{00000000-0004-0000-0000-000035000000}"/>
    <hyperlink ref="E34" r:id="rId55" xr:uid="{00000000-0004-0000-0000-000036000000}"/>
    <hyperlink ref="B35" r:id="rId56" xr:uid="{00000000-0004-0000-0000-000037000000}"/>
    <hyperlink ref="E35" r:id="rId57" xr:uid="{00000000-0004-0000-0000-000038000000}"/>
    <hyperlink ref="B36" r:id="rId58" xr:uid="{00000000-0004-0000-0000-000039000000}"/>
    <hyperlink ref="B37" r:id="rId59" xr:uid="{00000000-0004-0000-0000-00003A000000}"/>
    <hyperlink ref="E37" r:id="rId60" xr:uid="{00000000-0004-0000-0000-00003B000000}"/>
    <hyperlink ref="B38" r:id="rId61" xr:uid="{00000000-0004-0000-0000-00003C000000}"/>
    <hyperlink ref="B39" r:id="rId62" xr:uid="{00000000-0004-0000-0000-00003D000000}"/>
    <hyperlink ref="E39" r:id="rId63" xr:uid="{00000000-0004-0000-0000-00003E000000}"/>
    <hyperlink ref="B40" r:id="rId64" xr:uid="{00000000-0004-0000-0000-00003F000000}"/>
    <hyperlink ref="B41" r:id="rId65" xr:uid="{00000000-0004-0000-0000-000040000000}"/>
    <hyperlink ref="E41" r:id="rId66" xr:uid="{00000000-0004-0000-0000-000041000000}"/>
    <hyperlink ref="B42" r:id="rId67" xr:uid="{00000000-0004-0000-0000-000042000000}"/>
    <hyperlink ref="E42" r:id="rId68" xr:uid="{00000000-0004-0000-0000-000043000000}"/>
    <hyperlink ref="B43" r:id="rId69" xr:uid="{00000000-0004-0000-0000-000044000000}"/>
    <hyperlink ref="E43" r:id="rId70" xr:uid="{00000000-0004-0000-0000-000045000000}"/>
    <hyperlink ref="B44" r:id="rId71" xr:uid="{00000000-0004-0000-0000-000046000000}"/>
    <hyperlink ref="E44" r:id="rId72" xr:uid="{00000000-0004-0000-0000-000047000000}"/>
    <hyperlink ref="B45" r:id="rId73" xr:uid="{00000000-0004-0000-0000-000048000000}"/>
    <hyperlink ref="E45" r:id="rId74" xr:uid="{00000000-0004-0000-0000-000049000000}"/>
    <hyperlink ref="B46" r:id="rId75" xr:uid="{00000000-0004-0000-0000-00004A000000}"/>
    <hyperlink ref="B47" r:id="rId76" xr:uid="{00000000-0004-0000-0000-00004B000000}"/>
    <hyperlink ref="E47" r:id="rId77" xr:uid="{00000000-0004-0000-0000-00004C000000}"/>
    <hyperlink ref="B48" r:id="rId78" xr:uid="{00000000-0004-0000-0000-00004D000000}"/>
    <hyperlink ref="E48" r:id="rId79" xr:uid="{00000000-0004-0000-0000-00004E000000}"/>
    <hyperlink ref="B52" r:id="rId80" xr:uid="{00000000-0004-0000-0000-00004F000000}"/>
    <hyperlink ref="E52" r:id="rId81" xr:uid="{00000000-0004-0000-0000-000050000000}"/>
    <hyperlink ref="B53" r:id="rId82" xr:uid="{00000000-0004-0000-0000-000051000000}"/>
    <hyperlink ref="E53" r:id="rId83" xr:uid="{00000000-0004-0000-0000-000052000000}"/>
    <hyperlink ref="B54" r:id="rId84" xr:uid="{00000000-0004-0000-0000-000053000000}"/>
    <hyperlink ref="E54" r:id="rId85" xr:uid="{00000000-0004-0000-0000-000054000000}"/>
    <hyperlink ref="B55" r:id="rId86" xr:uid="{00000000-0004-0000-0000-000055000000}"/>
    <hyperlink ref="E55" r:id="rId87" xr:uid="{00000000-0004-0000-0000-000056000000}"/>
    <hyperlink ref="B56" r:id="rId88" xr:uid="{00000000-0004-0000-0000-000057000000}"/>
    <hyperlink ref="E56" r:id="rId89" xr:uid="{00000000-0004-0000-0000-000058000000}"/>
    <hyperlink ref="B57" r:id="rId90" xr:uid="{00000000-0004-0000-0000-000059000000}"/>
    <hyperlink ref="E57" r:id="rId91" xr:uid="{00000000-0004-0000-0000-00005A000000}"/>
    <hyperlink ref="B58" r:id="rId92" xr:uid="{00000000-0004-0000-0000-00005B000000}"/>
    <hyperlink ref="E58" r:id="rId93" xr:uid="{00000000-0004-0000-0000-00005C000000}"/>
    <hyperlink ref="B59" r:id="rId94" xr:uid="{00000000-0004-0000-0000-00005D000000}"/>
    <hyperlink ref="E59" r:id="rId95" xr:uid="{00000000-0004-0000-0000-00005E000000}"/>
    <hyperlink ref="B60" r:id="rId96" xr:uid="{00000000-0004-0000-0000-00005F000000}"/>
    <hyperlink ref="E60" r:id="rId97" xr:uid="{00000000-0004-0000-0000-000060000000}"/>
    <hyperlink ref="B61" r:id="rId98" xr:uid="{00000000-0004-0000-0000-000061000000}"/>
    <hyperlink ref="E61" r:id="rId99" xr:uid="{00000000-0004-0000-0000-000062000000}"/>
    <hyperlink ref="B62" r:id="rId100" xr:uid="{00000000-0004-0000-0000-000063000000}"/>
    <hyperlink ref="E62" r:id="rId101" xr:uid="{00000000-0004-0000-0000-000064000000}"/>
    <hyperlink ref="B63" r:id="rId102" xr:uid="{00000000-0004-0000-0000-000065000000}"/>
    <hyperlink ref="E63" r:id="rId103" xr:uid="{00000000-0004-0000-0000-000066000000}"/>
    <hyperlink ref="B64" r:id="rId104" xr:uid="{00000000-0004-0000-0000-000067000000}"/>
    <hyperlink ref="E64" r:id="rId105" xr:uid="{00000000-0004-0000-0000-000068000000}"/>
    <hyperlink ref="B65" r:id="rId106" xr:uid="{00000000-0004-0000-0000-000069000000}"/>
    <hyperlink ref="E65" r:id="rId107" xr:uid="{00000000-0004-0000-0000-00006A000000}"/>
    <hyperlink ref="B66" r:id="rId108" xr:uid="{00000000-0004-0000-0000-00006B000000}"/>
    <hyperlink ref="E66" r:id="rId109" xr:uid="{00000000-0004-0000-0000-00006C000000}"/>
    <hyperlink ref="B67" r:id="rId110" xr:uid="{00000000-0004-0000-0000-00006D000000}"/>
    <hyperlink ref="E67" r:id="rId111" xr:uid="{00000000-0004-0000-0000-00006E000000}"/>
    <hyperlink ref="B68" r:id="rId112" xr:uid="{00000000-0004-0000-0000-00006F000000}"/>
    <hyperlink ref="E68" r:id="rId113" xr:uid="{00000000-0004-0000-0000-000070000000}"/>
    <hyperlink ref="B69" r:id="rId114" xr:uid="{00000000-0004-0000-0000-000071000000}"/>
    <hyperlink ref="E69" r:id="rId115" xr:uid="{00000000-0004-0000-0000-000072000000}"/>
    <hyperlink ref="B70" r:id="rId116" xr:uid="{00000000-0004-0000-0000-000073000000}"/>
    <hyperlink ref="E70" r:id="rId117" xr:uid="{00000000-0004-0000-0000-000074000000}"/>
    <hyperlink ref="B71" r:id="rId118" xr:uid="{00000000-0004-0000-0000-000075000000}"/>
    <hyperlink ref="E71" r:id="rId119" xr:uid="{00000000-0004-0000-0000-000076000000}"/>
    <hyperlink ref="B72" r:id="rId120" xr:uid="{00000000-0004-0000-0000-000077000000}"/>
    <hyperlink ref="B73" r:id="rId121" xr:uid="{00000000-0004-0000-0000-000078000000}"/>
    <hyperlink ref="E73" r:id="rId122" xr:uid="{00000000-0004-0000-0000-000079000000}"/>
    <hyperlink ref="B74" r:id="rId123" xr:uid="{00000000-0004-0000-0000-00007A000000}"/>
    <hyperlink ref="B75" r:id="rId124" xr:uid="{00000000-0004-0000-0000-00007B000000}"/>
    <hyperlink ref="E75" r:id="rId125" xr:uid="{00000000-0004-0000-0000-00007C000000}"/>
    <hyperlink ref="B76" r:id="rId126" xr:uid="{00000000-0004-0000-0000-00007D000000}"/>
    <hyperlink ref="E76" r:id="rId127" xr:uid="{00000000-0004-0000-0000-00007E000000}"/>
    <hyperlink ref="B77" r:id="rId128" xr:uid="{00000000-0004-0000-0000-00007F000000}"/>
    <hyperlink ref="E77" r:id="rId129" xr:uid="{00000000-0004-0000-0000-000080000000}"/>
    <hyperlink ref="B78" r:id="rId130" xr:uid="{00000000-0004-0000-0000-000081000000}"/>
    <hyperlink ref="B79" r:id="rId131" xr:uid="{00000000-0004-0000-0000-000082000000}"/>
    <hyperlink ref="E79" r:id="rId132" xr:uid="{00000000-0004-0000-0000-000083000000}"/>
    <hyperlink ref="B80" r:id="rId133" xr:uid="{00000000-0004-0000-0000-000084000000}"/>
    <hyperlink ref="B81" r:id="rId134" xr:uid="{00000000-0004-0000-0000-000085000000}"/>
    <hyperlink ref="E81" r:id="rId135" xr:uid="{00000000-0004-0000-0000-000086000000}"/>
    <hyperlink ref="B82" r:id="rId136" xr:uid="{00000000-0004-0000-0000-000087000000}"/>
    <hyperlink ref="E82" r:id="rId137" xr:uid="{00000000-0004-0000-0000-000088000000}"/>
    <hyperlink ref="B83" r:id="rId138" xr:uid="{00000000-0004-0000-0000-000089000000}"/>
    <hyperlink ref="E83" r:id="rId139" xr:uid="{00000000-0004-0000-0000-00008A000000}"/>
    <hyperlink ref="B84" r:id="rId140" xr:uid="{00000000-0004-0000-0000-00008B000000}"/>
    <hyperlink ref="E84" r:id="rId141" xr:uid="{00000000-0004-0000-0000-00008C000000}"/>
    <hyperlink ref="B85" r:id="rId142" xr:uid="{00000000-0004-0000-0000-00008D000000}"/>
    <hyperlink ref="E85" r:id="rId143" xr:uid="{00000000-0004-0000-0000-00008E000000}"/>
    <hyperlink ref="B86" r:id="rId144" xr:uid="{00000000-0004-0000-0000-00008F000000}"/>
    <hyperlink ref="E86" r:id="rId145" xr:uid="{00000000-0004-0000-0000-000090000000}"/>
    <hyperlink ref="B87" r:id="rId146" xr:uid="{00000000-0004-0000-0000-000091000000}"/>
    <hyperlink ref="E87" r:id="rId147" xr:uid="{00000000-0004-0000-0000-000092000000}"/>
    <hyperlink ref="B88" r:id="rId148" xr:uid="{00000000-0004-0000-0000-000093000000}"/>
    <hyperlink ref="E88" r:id="rId149" xr:uid="{00000000-0004-0000-0000-000094000000}"/>
    <hyperlink ref="B89" r:id="rId150" xr:uid="{00000000-0004-0000-0000-000095000000}"/>
    <hyperlink ref="E89" r:id="rId151" xr:uid="{00000000-0004-0000-0000-000096000000}"/>
  </hyperlinks>
  <pageMargins left="0.7" right="0.7" top="0.75" bottom="0.75" header="0.3" footer="0.3"/>
  <tableParts count="3">
    <tablePart r:id="rId152"/>
    <tablePart r:id="rId153"/>
    <tablePart r:id="rId15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"/>
  <sheetViews>
    <sheetView workbookViewId="0">
      <selection activeCell="C8" sqref="C8"/>
    </sheetView>
  </sheetViews>
  <sheetFormatPr defaultColWidth="12.6328125" defaultRowHeight="15.75" customHeight="1" x14ac:dyDescent="0.25"/>
  <cols>
    <col min="2" max="2" width="42.90625" customWidth="1"/>
    <col min="3" max="3" width="40.453125" customWidth="1"/>
    <col min="4" max="4" width="27.453125" customWidth="1"/>
  </cols>
  <sheetData>
    <row r="1" spans="1:4" ht="15.75" customHeight="1" x14ac:dyDescent="0.25">
      <c r="A1" s="43" t="s">
        <v>249</v>
      </c>
      <c r="B1" s="43" t="s">
        <v>250</v>
      </c>
      <c r="C1" s="43" t="s">
        <v>251</v>
      </c>
      <c r="D1" s="43" t="s">
        <v>252</v>
      </c>
    </row>
    <row r="2" spans="1:4" ht="15.75" customHeight="1" x14ac:dyDescent="0.25">
      <c r="A2" s="43" t="s">
        <v>253</v>
      </c>
      <c r="B2" s="43">
        <v>12</v>
      </c>
      <c r="C2" s="43" t="s">
        <v>254</v>
      </c>
      <c r="D2" s="43" t="s">
        <v>255</v>
      </c>
    </row>
    <row r="3" spans="1:4" ht="15.75" customHeight="1" x14ac:dyDescent="0.25">
      <c r="A3" s="43" t="s">
        <v>256</v>
      </c>
      <c r="B3" s="44">
        <v>5</v>
      </c>
      <c r="C3" s="44" t="s">
        <v>258</v>
      </c>
      <c r="D3" s="44" t="s">
        <v>255</v>
      </c>
    </row>
    <row r="4" spans="1:4" ht="15.75" customHeight="1" x14ac:dyDescent="0.25">
      <c r="A4" s="43" t="s">
        <v>257</v>
      </c>
      <c r="B4" s="43">
        <v>5</v>
      </c>
      <c r="C4" s="43" t="s">
        <v>258</v>
      </c>
      <c r="D4" s="43" t="s">
        <v>255</v>
      </c>
    </row>
    <row r="5" spans="1:4" ht="15.75" customHeight="1" x14ac:dyDescent="0.25">
      <c r="A5" s="43" t="s">
        <v>259</v>
      </c>
      <c r="B5" s="44"/>
      <c r="C5" s="44"/>
      <c r="D5" s="44"/>
    </row>
    <row r="6" spans="1:4" ht="15.75" customHeight="1" x14ac:dyDescent="0.25">
      <c r="A6" s="43" t="s">
        <v>260</v>
      </c>
      <c r="B6" s="43">
        <v>14</v>
      </c>
      <c r="C6" s="43" t="s">
        <v>255</v>
      </c>
      <c r="D6" s="43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7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37.6328125" customWidth="1"/>
    <col min="2" max="2" width="37" customWidth="1"/>
    <col min="3" max="3" width="16.453125" customWidth="1"/>
    <col min="5" max="5" width="37.6328125" customWidth="1"/>
    <col min="6" max="6" width="16.26953125" customWidth="1"/>
    <col min="7" max="7" width="14.90625" customWidth="1"/>
    <col min="8" max="8" width="18.36328125" customWidth="1"/>
    <col min="9" max="9" width="20.45312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5"/>
      <c r="K1" s="46" t="s">
        <v>5</v>
      </c>
      <c r="L1" s="46" t="s">
        <v>6</v>
      </c>
      <c r="M1" s="46" t="s">
        <v>7</v>
      </c>
    </row>
    <row r="2" spans="1:26" ht="22.5" customHeight="1" x14ac:dyDescent="0.25">
      <c r="A2" s="2" t="s">
        <v>36</v>
      </c>
      <c r="B2" s="3" t="s">
        <v>37</v>
      </c>
      <c r="C2" s="4" t="s">
        <v>38</v>
      </c>
      <c r="D2" s="2" t="s">
        <v>12</v>
      </c>
      <c r="E2" s="3" t="s">
        <v>39</v>
      </c>
      <c r="F2" s="2">
        <v>5</v>
      </c>
      <c r="G2" s="2">
        <v>2</v>
      </c>
      <c r="H2" s="2">
        <v>3</v>
      </c>
      <c r="J2" s="45"/>
      <c r="K2" s="47">
        <f>SUM(M1_Effort_Estimation_4[Time Estimate],G8:G11,M3_Effort_Estimation_4[Time Estimate])</f>
        <v>13</v>
      </c>
      <c r="L2" s="47">
        <f>SUM(M1_Effort_Estimation_4[Coding Time],M2_Effort_Estimation_4[Coding Time],M3_Effort_Estimation_4[Coding Time])</f>
        <v>9</v>
      </c>
      <c r="M2" s="47">
        <f>SUM(M1_Effort_Estimation_4[Non-Coding Time],I8:I11,M3_Effort_Estimation_4[Non-Coding Time])</f>
        <v>7</v>
      </c>
    </row>
    <row r="3" spans="1:26" ht="22.5" customHeight="1" x14ac:dyDescent="0.25">
      <c r="A3" s="2" t="s">
        <v>42</v>
      </c>
      <c r="B3" s="3" t="s">
        <v>43</v>
      </c>
      <c r="C3" s="4" t="s">
        <v>38</v>
      </c>
      <c r="D3" s="2" t="s">
        <v>12</v>
      </c>
      <c r="E3" s="3" t="s">
        <v>44</v>
      </c>
    </row>
    <row r="4" spans="1:26" ht="22.5" customHeight="1" x14ac:dyDescent="0.25">
      <c r="A4" s="2" t="s">
        <v>45</v>
      </c>
      <c r="B4" s="3" t="s">
        <v>46</v>
      </c>
      <c r="C4" s="4" t="s">
        <v>38</v>
      </c>
      <c r="D4" s="2" t="s">
        <v>12</v>
      </c>
      <c r="E4" s="3" t="s">
        <v>47</v>
      </c>
    </row>
    <row r="7" spans="1:26" ht="22.5" customHeight="1" x14ac:dyDescent="0.25">
      <c r="A7" s="5" t="s">
        <v>0</v>
      </c>
      <c r="B7" s="6" t="s">
        <v>1</v>
      </c>
      <c r="C7" s="6" t="s">
        <v>2</v>
      </c>
      <c r="D7" s="6" t="s">
        <v>3</v>
      </c>
      <c r="E7" s="6" t="s">
        <v>4</v>
      </c>
      <c r="F7" s="6" t="s">
        <v>8</v>
      </c>
      <c r="G7" s="6" t="s">
        <v>5</v>
      </c>
      <c r="H7" s="6" t="s">
        <v>6</v>
      </c>
      <c r="I7" s="7" t="s">
        <v>61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2.5" customHeight="1" x14ac:dyDescent="0.25">
      <c r="A8" s="9" t="s">
        <v>62</v>
      </c>
      <c r="B8" s="10" t="s">
        <v>63</v>
      </c>
      <c r="C8" s="11" t="s">
        <v>38</v>
      </c>
      <c r="D8" s="12" t="s">
        <v>12</v>
      </c>
      <c r="E8" s="10" t="s">
        <v>64</v>
      </c>
      <c r="F8" s="13"/>
      <c r="G8" s="14">
        <v>2</v>
      </c>
      <c r="H8" s="14">
        <v>1</v>
      </c>
      <c r="I8" s="15">
        <v>1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2.5" customHeight="1" x14ac:dyDescent="0.25">
      <c r="A9" s="16" t="s">
        <v>65</v>
      </c>
      <c r="B9" s="17" t="s">
        <v>66</v>
      </c>
      <c r="C9" s="18" t="s">
        <v>38</v>
      </c>
      <c r="D9" s="19" t="s">
        <v>12</v>
      </c>
      <c r="E9" s="17" t="s">
        <v>67</v>
      </c>
      <c r="F9" s="20"/>
      <c r="G9" s="21">
        <v>1</v>
      </c>
      <c r="H9" s="21">
        <v>2</v>
      </c>
      <c r="I9" s="22">
        <v>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2.5" customHeight="1" x14ac:dyDescent="0.25">
      <c r="A10" s="9" t="s">
        <v>68</v>
      </c>
      <c r="B10" s="10" t="s">
        <v>69</v>
      </c>
      <c r="C10" s="11" t="s">
        <v>38</v>
      </c>
      <c r="D10" s="12" t="s">
        <v>12</v>
      </c>
      <c r="E10" s="10" t="s">
        <v>70</v>
      </c>
      <c r="F10" s="13"/>
      <c r="G10" s="14">
        <v>2</v>
      </c>
      <c r="H10" s="14">
        <v>1</v>
      </c>
      <c r="I10" s="15">
        <v>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2.5" customHeight="1" x14ac:dyDescent="0.25">
      <c r="A13" s="5" t="s">
        <v>0</v>
      </c>
      <c r="B13" s="6" t="s">
        <v>1</v>
      </c>
      <c r="C13" s="6" t="s">
        <v>2</v>
      </c>
      <c r="D13" s="6" t="s">
        <v>3</v>
      </c>
      <c r="E13" s="6" t="s">
        <v>4</v>
      </c>
      <c r="F13" s="6" t="s">
        <v>8</v>
      </c>
      <c r="G13" s="6" t="s">
        <v>5</v>
      </c>
      <c r="H13" s="6" t="s">
        <v>6</v>
      </c>
      <c r="I13" s="7" t="s">
        <v>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2.5" customHeight="1" x14ac:dyDescent="0.25">
      <c r="A14" s="9" t="s">
        <v>139</v>
      </c>
      <c r="B14" s="10" t="s">
        <v>140</v>
      </c>
      <c r="C14" s="11" t="s">
        <v>38</v>
      </c>
      <c r="D14" s="12" t="s">
        <v>12</v>
      </c>
      <c r="E14" s="10" t="s">
        <v>141</v>
      </c>
      <c r="F14" s="13"/>
      <c r="G14" s="14">
        <v>0.5</v>
      </c>
      <c r="H14" s="14">
        <v>0.5</v>
      </c>
      <c r="I14" s="15">
        <v>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2.5" customHeight="1" x14ac:dyDescent="0.25">
      <c r="A15" s="16" t="s">
        <v>142</v>
      </c>
      <c r="B15" s="17" t="s">
        <v>143</v>
      </c>
      <c r="C15" s="18" t="s">
        <v>38</v>
      </c>
      <c r="D15" s="19" t="s">
        <v>12</v>
      </c>
      <c r="E15" s="17" t="s">
        <v>144</v>
      </c>
      <c r="F15" s="20"/>
      <c r="G15" s="21">
        <v>2</v>
      </c>
      <c r="H15" s="21">
        <v>2</v>
      </c>
      <c r="I15" s="22">
        <v>1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2.5" customHeight="1" x14ac:dyDescent="0.25">
      <c r="A16" s="9" t="s">
        <v>145</v>
      </c>
      <c r="B16" s="10" t="s">
        <v>146</v>
      </c>
      <c r="C16" s="11" t="s">
        <v>38</v>
      </c>
      <c r="D16" s="12" t="s">
        <v>12</v>
      </c>
      <c r="E16" s="10" t="s">
        <v>147</v>
      </c>
      <c r="F16" s="13"/>
      <c r="G16" s="14">
        <v>0.5</v>
      </c>
      <c r="H16" s="14">
        <v>0.5</v>
      </c>
      <c r="I16" s="15">
        <v>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5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5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5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5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5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5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5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5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5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5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5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5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5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5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5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5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5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5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5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5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5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5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5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5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5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5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5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5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5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5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5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5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5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5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5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5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5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5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5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5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5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5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5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5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5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5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5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5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5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5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5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5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5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5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5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5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5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5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5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0:26" ht="12.5" x14ac:dyDescent="0.25"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</sheetData>
  <dataValidations count="3">
    <dataValidation type="list" allowBlank="1" showDropDown="1" showErrorMessage="1" sqref="C8:C10 C14:C16" xr:uid="{00000000-0002-0000-0200-000000000000}">
      <formula1>"cbxiii,ethnchiu,g3rr1c,KateHamada,tjlacasio"</formula1>
    </dataValidation>
    <dataValidation type="list" allowBlank="1" showDropDown="1" showErrorMessage="1" sqref="C2:C4" xr:uid="{00000000-0002-0000-0200-000001000000}">
      <formula1>"KateHamada,g3rr1c,ethnchiu,tjlacasio,cbxiii"</formula1>
    </dataValidation>
    <dataValidation type="custom" allowBlank="1" showDropDown="1" sqref="G8:I10 G14:I16" xr:uid="{00000000-0002-0000-0200-000002000000}">
      <formula1>AND(ISNUMBER(G8),(NOT(OR(NOT(ISERROR(DATEVALUE(G8))), AND(ISNUMBER(G8), LEFT(CELL("format", G8))="D")))))</formula1>
    </dataValidation>
  </dataValidations>
  <hyperlinks>
    <hyperlink ref="B2" r:id="rId1" xr:uid="{00000000-0004-0000-0200-000000000000}"/>
    <hyperlink ref="E2" r:id="rId2" xr:uid="{00000000-0004-0000-0200-000001000000}"/>
    <hyperlink ref="B3" r:id="rId3" xr:uid="{00000000-0004-0000-0200-000002000000}"/>
    <hyperlink ref="E3" r:id="rId4" xr:uid="{00000000-0004-0000-0200-000003000000}"/>
    <hyperlink ref="B4" r:id="rId5" xr:uid="{00000000-0004-0000-0200-000004000000}"/>
    <hyperlink ref="E4" r:id="rId6" xr:uid="{00000000-0004-0000-0200-000005000000}"/>
    <hyperlink ref="B8" r:id="rId7" xr:uid="{00000000-0004-0000-0200-000006000000}"/>
    <hyperlink ref="E8" r:id="rId8" xr:uid="{00000000-0004-0000-0200-000007000000}"/>
    <hyperlink ref="B9" r:id="rId9" xr:uid="{00000000-0004-0000-0200-000008000000}"/>
    <hyperlink ref="E9" r:id="rId10" xr:uid="{00000000-0004-0000-0200-000009000000}"/>
    <hyperlink ref="B10" r:id="rId11" xr:uid="{00000000-0004-0000-0200-00000A000000}"/>
    <hyperlink ref="E10" r:id="rId12" xr:uid="{00000000-0004-0000-0200-00000B000000}"/>
    <hyperlink ref="B14" r:id="rId13" xr:uid="{00000000-0004-0000-0200-00000C000000}"/>
    <hyperlink ref="E14" r:id="rId14" xr:uid="{00000000-0004-0000-0200-00000D000000}"/>
    <hyperlink ref="B15" r:id="rId15" xr:uid="{00000000-0004-0000-0200-00000E000000}"/>
    <hyperlink ref="E15" r:id="rId16" xr:uid="{00000000-0004-0000-0200-00000F000000}"/>
    <hyperlink ref="B16" r:id="rId17" xr:uid="{00000000-0004-0000-0200-000010000000}"/>
    <hyperlink ref="E16" r:id="rId18" xr:uid="{00000000-0004-0000-0200-000011000000}"/>
  </hyperlinks>
  <pageMargins left="0.7" right="0.7" top="0.75" bottom="0.75" header="0.3" footer="0.3"/>
  <tableParts count="4">
    <tablePart r:id="rId19"/>
    <tablePart r:id="rId20"/>
    <tablePart r:id="rId21"/>
    <tablePart r:id="rId2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83"/>
  <sheetViews>
    <sheetView tabSelected="1" workbookViewId="0">
      <pane ySplit="1" topLeftCell="A11" activePane="bottomLeft" state="frozen"/>
      <selection pane="bottomLeft" activeCell="B17" sqref="B17"/>
    </sheetView>
  </sheetViews>
  <sheetFormatPr defaultColWidth="12.6328125" defaultRowHeight="15.75" customHeight="1" x14ac:dyDescent="0.25"/>
  <cols>
    <col min="1" max="1" width="37.6328125" customWidth="1"/>
    <col min="2" max="2" width="37" customWidth="1"/>
    <col min="3" max="3" width="16.453125" customWidth="1"/>
    <col min="5" max="5" width="37.6328125" customWidth="1"/>
    <col min="6" max="6" width="16.26953125" customWidth="1"/>
    <col min="7" max="7" width="14.90625" customWidth="1"/>
    <col min="8" max="8" width="18.36328125" customWidth="1"/>
    <col min="9" max="9" width="20.45312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5</v>
      </c>
      <c r="K1" s="1" t="s">
        <v>6</v>
      </c>
      <c r="L1" s="1" t="s">
        <v>7</v>
      </c>
    </row>
    <row r="2" spans="1:26" ht="22.5" customHeight="1" x14ac:dyDescent="0.25">
      <c r="A2" s="2" t="s">
        <v>51</v>
      </c>
      <c r="B2" s="3" t="s">
        <v>52</v>
      </c>
      <c r="C2" s="4" t="s">
        <v>11</v>
      </c>
      <c r="D2" s="2" t="s">
        <v>12</v>
      </c>
      <c r="E2" s="3" t="s">
        <v>53</v>
      </c>
      <c r="J2" s="48">
        <f>SUM(M1_Effort_Estimation_3[Time Estimate],M2_Effort_Estimation_3[Time Estimate],F18:F23)</f>
        <v>21.5</v>
      </c>
      <c r="K2" s="48">
        <f>SUM(M1_Effort_Estimation_3[Coding Time],M2_Effort_Estimation_3[Coding Time],G18:G23)</f>
        <v>21.5</v>
      </c>
      <c r="L2" s="48">
        <f>SUM(M1_Effort_Estimation_3[Non-Coding Time],M2_Effort_Estimation_3[Non-coding Time],H18:H23)</f>
        <v>2.25</v>
      </c>
    </row>
    <row r="3" spans="1:26" ht="22.5" customHeight="1" x14ac:dyDescent="0.25">
      <c r="A3" s="2" t="s">
        <v>9</v>
      </c>
      <c r="B3" s="3" t="s">
        <v>10</v>
      </c>
      <c r="C3" s="4" t="s">
        <v>11</v>
      </c>
      <c r="D3" s="2" t="s">
        <v>12</v>
      </c>
      <c r="E3" s="3" t="s">
        <v>13</v>
      </c>
    </row>
    <row r="4" spans="1:26" ht="22.5" customHeight="1" x14ac:dyDescent="0.25">
      <c r="A4" s="2" t="s">
        <v>20</v>
      </c>
      <c r="B4" s="3" t="s">
        <v>21</v>
      </c>
      <c r="C4" s="4" t="s">
        <v>11</v>
      </c>
      <c r="D4" s="2" t="s">
        <v>12</v>
      </c>
      <c r="E4" s="3" t="s">
        <v>22</v>
      </c>
    </row>
    <row r="5" spans="1:26" ht="22.5" customHeight="1" x14ac:dyDescent="0.25">
      <c r="A5" s="2" t="s">
        <v>23</v>
      </c>
      <c r="B5" s="3" t="s">
        <v>24</v>
      </c>
      <c r="C5" s="4" t="s">
        <v>11</v>
      </c>
      <c r="D5" s="2" t="s">
        <v>12</v>
      </c>
      <c r="E5" s="3" t="s">
        <v>25</v>
      </c>
    </row>
    <row r="8" spans="1:26" ht="22.5" customHeight="1" x14ac:dyDescent="0.25">
      <c r="A8" s="5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7" t="s">
        <v>61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6" ht="22.5" customHeight="1" x14ac:dyDescent="0.25">
      <c r="A9" s="16" t="s">
        <v>111</v>
      </c>
      <c r="B9" s="17" t="s">
        <v>112</v>
      </c>
      <c r="C9" s="29" t="s">
        <v>11</v>
      </c>
      <c r="D9" s="19" t="s">
        <v>12</v>
      </c>
      <c r="E9" s="17" t="s">
        <v>113</v>
      </c>
      <c r="F9" s="21">
        <v>2</v>
      </c>
      <c r="G9" s="21">
        <v>3</v>
      </c>
      <c r="H9" s="22">
        <v>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6" ht="22.5" customHeight="1" x14ac:dyDescent="0.25">
      <c r="A10" s="9" t="s">
        <v>114</v>
      </c>
      <c r="B10" s="10" t="s">
        <v>115</v>
      </c>
      <c r="C10" s="30" t="s">
        <v>11</v>
      </c>
      <c r="D10" s="12" t="s">
        <v>12</v>
      </c>
      <c r="E10" s="12" t="s">
        <v>116</v>
      </c>
      <c r="F10" s="14">
        <v>2</v>
      </c>
      <c r="G10" s="14">
        <v>3</v>
      </c>
      <c r="H10" s="15">
        <v>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6" ht="22.5" customHeight="1" x14ac:dyDescent="0.25">
      <c r="A11" s="16" t="s">
        <v>117</v>
      </c>
      <c r="B11" s="17" t="s">
        <v>118</v>
      </c>
      <c r="C11" s="29" t="s">
        <v>11</v>
      </c>
      <c r="D11" s="19" t="s">
        <v>12</v>
      </c>
      <c r="E11" s="17" t="s">
        <v>119</v>
      </c>
      <c r="F11" s="21">
        <v>2</v>
      </c>
      <c r="G11" s="21">
        <v>1.5</v>
      </c>
      <c r="H11" s="22">
        <v>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6" ht="22.5" customHeight="1" x14ac:dyDescent="0.25">
      <c r="A12" s="9" t="s">
        <v>120</v>
      </c>
      <c r="B12" s="10" t="s">
        <v>121</v>
      </c>
      <c r="C12" s="30" t="s">
        <v>11</v>
      </c>
      <c r="D12" s="12" t="s">
        <v>12</v>
      </c>
      <c r="E12" s="10" t="s">
        <v>122</v>
      </c>
      <c r="F12" s="14">
        <v>1</v>
      </c>
      <c r="G12" s="14">
        <v>0.75</v>
      </c>
      <c r="H12" s="15">
        <v>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6" ht="22.5" customHeight="1" x14ac:dyDescent="0.25">
      <c r="A13" s="16" t="s">
        <v>123</v>
      </c>
      <c r="B13" s="17" t="s">
        <v>124</v>
      </c>
      <c r="C13" s="29" t="s">
        <v>11</v>
      </c>
      <c r="D13" s="19" t="s">
        <v>12</v>
      </c>
      <c r="E13" s="17" t="s">
        <v>125</v>
      </c>
      <c r="F13" s="21">
        <v>1</v>
      </c>
      <c r="G13" s="21">
        <v>1</v>
      </c>
      <c r="H13" s="22">
        <v>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6" ht="22.5" customHeight="1" x14ac:dyDescent="0.25">
      <c r="A14" s="9" t="s">
        <v>126</v>
      </c>
      <c r="B14" s="10" t="s">
        <v>127</v>
      </c>
      <c r="C14" s="30" t="s">
        <v>11</v>
      </c>
      <c r="D14" s="12" t="s">
        <v>12</v>
      </c>
      <c r="E14" s="10" t="s">
        <v>128</v>
      </c>
      <c r="F14" s="14">
        <v>0.5</v>
      </c>
      <c r="G14" s="14">
        <v>0.5</v>
      </c>
      <c r="H14" s="15">
        <v>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6" ht="12.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5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2.5" customHeight="1" x14ac:dyDescent="0.25">
      <c r="A17" s="5" t="s">
        <v>0</v>
      </c>
      <c r="B17" s="6" t="s">
        <v>1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H17" s="7" t="s">
        <v>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6" ht="22.5" customHeight="1" x14ac:dyDescent="0.25">
      <c r="A18" s="9" t="s">
        <v>198</v>
      </c>
      <c r="B18" s="10" t="s">
        <v>199</v>
      </c>
      <c r="C18" s="30" t="s">
        <v>11</v>
      </c>
      <c r="D18" s="12" t="s">
        <v>12</v>
      </c>
      <c r="E18" s="12" t="s">
        <v>200</v>
      </c>
      <c r="F18" s="14">
        <v>3</v>
      </c>
      <c r="G18" s="14">
        <v>3</v>
      </c>
      <c r="H18" s="15">
        <v>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6" ht="22.5" customHeight="1" x14ac:dyDescent="0.25">
      <c r="A19" s="16" t="s">
        <v>201</v>
      </c>
      <c r="B19" s="17" t="s">
        <v>202</v>
      </c>
      <c r="C19" s="29" t="s">
        <v>11</v>
      </c>
      <c r="D19" s="19" t="s">
        <v>12</v>
      </c>
      <c r="E19" s="17" t="s">
        <v>203</v>
      </c>
      <c r="F19" s="21">
        <v>2.5</v>
      </c>
      <c r="G19" s="21">
        <v>3</v>
      </c>
      <c r="H19" s="22">
        <v>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6" ht="22.5" customHeight="1" x14ac:dyDescent="0.25">
      <c r="A20" s="9" t="s">
        <v>204</v>
      </c>
      <c r="B20" s="10" t="s">
        <v>205</v>
      </c>
      <c r="C20" s="30" t="s">
        <v>11</v>
      </c>
      <c r="D20" s="12" t="s">
        <v>12</v>
      </c>
      <c r="E20" s="12" t="s">
        <v>206</v>
      </c>
      <c r="F20" s="14">
        <v>3</v>
      </c>
      <c r="G20" s="14">
        <v>3</v>
      </c>
      <c r="H20" s="15">
        <v>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6" ht="22.5" customHeight="1" x14ac:dyDescent="0.25">
      <c r="A21" s="16" t="s">
        <v>207</v>
      </c>
      <c r="B21" s="17" t="s">
        <v>208</v>
      </c>
      <c r="C21" s="29" t="s">
        <v>11</v>
      </c>
      <c r="D21" s="19" t="s">
        <v>12</v>
      </c>
      <c r="E21" s="17" t="s">
        <v>209</v>
      </c>
      <c r="F21" s="21">
        <v>1</v>
      </c>
      <c r="G21" s="21">
        <v>0.75</v>
      </c>
      <c r="H21" s="22">
        <v>0.25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6" ht="22.5" customHeight="1" x14ac:dyDescent="0.25">
      <c r="A22" s="9" t="s">
        <v>210</v>
      </c>
      <c r="B22" s="10" t="s">
        <v>211</v>
      </c>
      <c r="C22" s="30" t="s">
        <v>11</v>
      </c>
      <c r="D22" s="12" t="s">
        <v>12</v>
      </c>
      <c r="E22" s="10" t="s">
        <v>212</v>
      </c>
      <c r="F22" s="14">
        <v>3</v>
      </c>
      <c r="G22" s="14">
        <v>1.5</v>
      </c>
      <c r="H22" s="15">
        <v>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6" ht="22.5" customHeight="1" x14ac:dyDescent="0.25">
      <c r="A23" s="16" t="s">
        <v>51</v>
      </c>
      <c r="B23" s="17" t="s">
        <v>213</v>
      </c>
      <c r="C23" s="29" t="s">
        <v>11</v>
      </c>
      <c r="D23" s="19" t="s">
        <v>12</v>
      </c>
      <c r="E23" s="17" t="s">
        <v>214</v>
      </c>
      <c r="F23" s="21">
        <v>0.5</v>
      </c>
      <c r="G23" s="21">
        <v>0.5</v>
      </c>
      <c r="H23" s="22">
        <v>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6" ht="12.5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5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5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5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5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5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5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5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5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5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5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5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5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5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5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5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5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5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5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5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5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5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5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5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5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5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5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5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5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5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5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5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5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5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5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5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5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5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5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5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5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5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5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5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5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5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5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5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5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5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5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5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</sheetData>
  <dataValidations count="3">
    <dataValidation type="list" allowBlank="1" showDropDown="1" showErrorMessage="1" sqref="C9:C14 C18:C23" xr:uid="{00000000-0002-0000-0300-000000000000}">
      <formula1>"cbxiii,ethnchiu,g3rr1c,KateHamada,tjlacasio"</formula1>
    </dataValidation>
    <dataValidation type="list" allowBlank="1" showDropDown="1" showErrorMessage="1" sqref="C2:C5" xr:uid="{00000000-0002-0000-0300-000001000000}">
      <formula1>"KateHamada,g3rr1c,ethnchiu,tjlacasio,cbxiii"</formula1>
    </dataValidation>
    <dataValidation type="custom" allowBlank="1" showDropDown="1" sqref="F9:H14 F18:H23" xr:uid="{00000000-0002-0000-0300-000002000000}">
      <formula1>AND(ISNUMBER(F9),(NOT(OR(NOT(ISERROR(DATEVALUE(F9))), AND(ISNUMBER(F9), LEFT(CELL("format", F9))="D")))))</formula1>
    </dataValidation>
  </dataValidations>
  <hyperlinks>
    <hyperlink ref="B2" r:id="rId1" xr:uid="{00000000-0004-0000-0300-000000000000}"/>
    <hyperlink ref="E2" r:id="rId2" xr:uid="{00000000-0004-0000-0300-000001000000}"/>
    <hyperlink ref="B3" r:id="rId3" xr:uid="{00000000-0004-0000-0300-000002000000}"/>
    <hyperlink ref="E3" r:id="rId4" xr:uid="{00000000-0004-0000-0300-000003000000}"/>
    <hyperlink ref="B4" r:id="rId5" xr:uid="{00000000-0004-0000-0300-000004000000}"/>
    <hyperlink ref="E4" r:id="rId6" xr:uid="{00000000-0004-0000-0300-000005000000}"/>
    <hyperlink ref="B5" r:id="rId7" xr:uid="{00000000-0004-0000-0300-000006000000}"/>
    <hyperlink ref="E5" r:id="rId8" xr:uid="{00000000-0004-0000-0300-000007000000}"/>
    <hyperlink ref="B9" r:id="rId9" xr:uid="{00000000-0004-0000-0300-000008000000}"/>
    <hyperlink ref="E9" r:id="rId10" xr:uid="{00000000-0004-0000-0300-000009000000}"/>
    <hyperlink ref="B10" r:id="rId11" xr:uid="{00000000-0004-0000-0300-00000A000000}"/>
    <hyperlink ref="B11" r:id="rId12" xr:uid="{00000000-0004-0000-0300-00000B000000}"/>
    <hyperlink ref="E11" r:id="rId13" xr:uid="{00000000-0004-0000-0300-00000C000000}"/>
    <hyperlink ref="B12" r:id="rId14" xr:uid="{00000000-0004-0000-0300-00000D000000}"/>
    <hyperlink ref="E12" r:id="rId15" xr:uid="{00000000-0004-0000-0300-00000E000000}"/>
    <hyperlink ref="B13" r:id="rId16" xr:uid="{00000000-0004-0000-0300-00000F000000}"/>
    <hyperlink ref="E13" r:id="rId17" xr:uid="{00000000-0004-0000-0300-000010000000}"/>
    <hyperlink ref="B14" r:id="rId18" xr:uid="{00000000-0004-0000-0300-000011000000}"/>
    <hyperlink ref="E14" r:id="rId19" xr:uid="{00000000-0004-0000-0300-000012000000}"/>
    <hyperlink ref="B18" r:id="rId20" xr:uid="{00000000-0004-0000-0300-000013000000}"/>
    <hyperlink ref="B19" r:id="rId21" xr:uid="{00000000-0004-0000-0300-000014000000}"/>
    <hyperlink ref="E19" r:id="rId22" xr:uid="{00000000-0004-0000-0300-000015000000}"/>
    <hyperlink ref="B20" r:id="rId23" xr:uid="{00000000-0004-0000-0300-000016000000}"/>
    <hyperlink ref="B21" r:id="rId24" xr:uid="{00000000-0004-0000-0300-000017000000}"/>
    <hyperlink ref="E21" r:id="rId25" xr:uid="{00000000-0004-0000-0300-000018000000}"/>
    <hyperlink ref="B22" r:id="rId26" xr:uid="{00000000-0004-0000-0300-000019000000}"/>
    <hyperlink ref="E22" r:id="rId27" xr:uid="{00000000-0004-0000-0300-00001A000000}"/>
    <hyperlink ref="B23" r:id="rId28" xr:uid="{00000000-0004-0000-0300-00001B000000}"/>
    <hyperlink ref="E23" r:id="rId29" xr:uid="{00000000-0004-0000-0300-00001C000000}"/>
  </hyperlinks>
  <pageMargins left="0.7" right="0.7" top="0.75" bottom="0.75" header="0.3" footer="0.3"/>
  <tableParts count="4">
    <tablePart r:id="rId30"/>
    <tablePart r:id="rId31"/>
    <tablePart r:id="rId32"/>
    <tablePart r:id="rId3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82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37.6328125" customWidth="1"/>
    <col min="2" max="2" width="37" customWidth="1"/>
    <col min="3" max="3" width="16.453125" customWidth="1"/>
    <col min="5" max="5" width="37.6328125" customWidth="1"/>
    <col min="6" max="6" width="16.26953125" customWidth="1"/>
    <col min="7" max="7" width="14.90625" customWidth="1"/>
    <col min="8" max="8" width="18.36328125" customWidth="1"/>
    <col min="9" max="9" width="20.45312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5</v>
      </c>
      <c r="K1" s="1" t="s">
        <v>6</v>
      </c>
      <c r="L1" s="1" t="s">
        <v>7</v>
      </c>
    </row>
    <row r="2" spans="1:26" ht="22.5" customHeight="1" x14ac:dyDescent="0.25">
      <c r="A2" s="2" t="s">
        <v>14</v>
      </c>
      <c r="B2" s="3" t="s">
        <v>15</v>
      </c>
      <c r="C2" s="4" t="s">
        <v>16</v>
      </c>
      <c r="D2" s="2" t="s">
        <v>12</v>
      </c>
      <c r="F2" s="2">
        <v>3</v>
      </c>
      <c r="G2" s="2">
        <v>1</v>
      </c>
      <c r="H2" s="2">
        <v>2</v>
      </c>
      <c r="J2" s="49">
        <f t="shared" ref="J2:L2" si="0">SUM(F2:F22)</f>
        <v>23.25</v>
      </c>
      <c r="K2" s="49">
        <f t="shared" si="0"/>
        <v>20.75</v>
      </c>
      <c r="L2" s="49">
        <f t="shared" si="0"/>
        <v>9.5</v>
      </c>
    </row>
    <row r="3" spans="1:26" ht="22.5" customHeight="1" x14ac:dyDescent="0.25">
      <c r="A3" s="2" t="s">
        <v>30</v>
      </c>
      <c r="B3" s="3" t="s">
        <v>31</v>
      </c>
      <c r="C3" s="4" t="s">
        <v>16</v>
      </c>
      <c r="D3" s="2" t="s">
        <v>12</v>
      </c>
      <c r="E3" s="3" t="s">
        <v>32</v>
      </c>
      <c r="F3" s="2">
        <v>1</v>
      </c>
      <c r="G3" s="2">
        <v>1</v>
      </c>
      <c r="H3" s="2">
        <v>0</v>
      </c>
    </row>
    <row r="4" spans="1:26" ht="22.5" customHeight="1" x14ac:dyDescent="0.25">
      <c r="A4" s="2" t="s">
        <v>54</v>
      </c>
      <c r="B4" s="3" t="s">
        <v>55</v>
      </c>
      <c r="C4" s="4" t="s">
        <v>16</v>
      </c>
      <c r="D4" s="2" t="s">
        <v>12</v>
      </c>
      <c r="F4" s="2">
        <v>2</v>
      </c>
      <c r="G4" s="2">
        <v>1.75</v>
      </c>
      <c r="H4" s="2">
        <v>0.25</v>
      </c>
    </row>
    <row r="5" spans="1:26" ht="22.5" customHeight="1" x14ac:dyDescent="0.25">
      <c r="A5" s="2" t="s">
        <v>59</v>
      </c>
      <c r="B5" s="3" t="s">
        <v>60</v>
      </c>
      <c r="C5" s="4" t="s">
        <v>16</v>
      </c>
      <c r="D5" s="2" t="s">
        <v>12</v>
      </c>
      <c r="F5" s="2">
        <v>1</v>
      </c>
      <c r="G5" s="2">
        <v>0.75</v>
      </c>
      <c r="H5" s="2">
        <v>0.25</v>
      </c>
    </row>
    <row r="8" spans="1:26" ht="22.5" customHeight="1" x14ac:dyDescent="0.25">
      <c r="A8" s="5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7" t="s">
        <v>61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6" ht="22.5" customHeight="1" x14ac:dyDescent="0.25">
      <c r="A9" s="16" t="s">
        <v>101</v>
      </c>
      <c r="B9" s="17" t="s">
        <v>102</v>
      </c>
      <c r="C9" s="25" t="s">
        <v>16</v>
      </c>
      <c r="D9" s="19" t="s">
        <v>12</v>
      </c>
      <c r="E9" s="17" t="s">
        <v>103</v>
      </c>
      <c r="F9" s="21">
        <v>0.5</v>
      </c>
      <c r="G9" s="21">
        <v>0.5</v>
      </c>
      <c r="H9" s="50">
        <v>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6" ht="22.5" customHeight="1" x14ac:dyDescent="0.25">
      <c r="A10" s="9" t="s">
        <v>104</v>
      </c>
      <c r="B10" s="10" t="s">
        <v>105</v>
      </c>
      <c r="C10" s="27" t="s">
        <v>16</v>
      </c>
      <c r="D10" s="12" t="s">
        <v>12</v>
      </c>
      <c r="E10" s="13"/>
      <c r="F10" s="14">
        <v>3</v>
      </c>
      <c r="G10" s="14">
        <v>4</v>
      </c>
      <c r="H10" s="15">
        <v>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6" ht="22.5" customHeight="1" x14ac:dyDescent="0.25">
      <c r="A11" s="16" t="s">
        <v>106</v>
      </c>
      <c r="B11" s="17" t="s">
        <v>107</v>
      </c>
      <c r="C11" s="25" t="s">
        <v>16</v>
      </c>
      <c r="D11" s="19" t="s">
        <v>12</v>
      </c>
      <c r="E11" s="17" t="s">
        <v>108</v>
      </c>
      <c r="F11" s="21">
        <v>4</v>
      </c>
      <c r="G11" s="21">
        <v>2</v>
      </c>
      <c r="H11" s="22">
        <v>2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6" ht="22.5" customHeight="1" x14ac:dyDescent="0.25">
      <c r="A12" s="9" t="s">
        <v>109</v>
      </c>
      <c r="B12" s="10" t="s">
        <v>110</v>
      </c>
      <c r="C12" s="27" t="s">
        <v>16</v>
      </c>
      <c r="D12" s="12" t="s">
        <v>12</v>
      </c>
      <c r="E12" s="13"/>
      <c r="F12" s="14">
        <v>0.5</v>
      </c>
      <c r="G12" s="14">
        <v>0.5</v>
      </c>
      <c r="H12" s="51">
        <v>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6" ht="12.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2.5" customHeight="1" x14ac:dyDescent="0.25">
      <c r="A15" s="5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7" t="s">
        <v>7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6" ht="22.5" customHeight="1" x14ac:dyDescent="0.25">
      <c r="A16" s="16" t="s">
        <v>177</v>
      </c>
      <c r="B16" s="17" t="s">
        <v>178</v>
      </c>
      <c r="C16" s="25" t="s">
        <v>16</v>
      </c>
      <c r="D16" s="19" t="s">
        <v>12</v>
      </c>
      <c r="E16" s="17" t="s">
        <v>179</v>
      </c>
      <c r="F16" s="21">
        <v>2</v>
      </c>
      <c r="G16" s="21">
        <v>4</v>
      </c>
      <c r="H16" s="22">
        <v>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6" ht="22.5" customHeight="1" x14ac:dyDescent="0.25">
      <c r="A17" s="9" t="s">
        <v>180</v>
      </c>
      <c r="B17" s="10" t="s">
        <v>181</v>
      </c>
      <c r="C17" s="27" t="s">
        <v>16</v>
      </c>
      <c r="D17" s="12" t="s">
        <v>12</v>
      </c>
      <c r="E17" s="10" t="s">
        <v>182</v>
      </c>
      <c r="F17" s="14">
        <v>0.25</v>
      </c>
      <c r="G17" s="14">
        <v>0.25</v>
      </c>
      <c r="H17" s="15">
        <v>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6" ht="22.5" customHeight="1" x14ac:dyDescent="0.25">
      <c r="A18" s="16" t="s">
        <v>183</v>
      </c>
      <c r="B18" s="17" t="s">
        <v>184</v>
      </c>
      <c r="C18" s="25" t="s">
        <v>16</v>
      </c>
      <c r="D18" s="19" t="s">
        <v>12</v>
      </c>
      <c r="E18" s="17" t="s">
        <v>185</v>
      </c>
      <c r="F18" s="21">
        <v>0.25</v>
      </c>
      <c r="G18" s="21">
        <v>0.25</v>
      </c>
      <c r="H18" s="22">
        <v>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6" ht="22.5" customHeight="1" x14ac:dyDescent="0.25">
      <c r="A19" s="9" t="s">
        <v>186</v>
      </c>
      <c r="B19" s="10" t="s">
        <v>187</v>
      </c>
      <c r="C19" s="27" t="s">
        <v>16</v>
      </c>
      <c r="D19" s="12" t="s">
        <v>12</v>
      </c>
      <c r="E19" s="10" t="s">
        <v>188</v>
      </c>
      <c r="F19" s="14">
        <v>0.5</v>
      </c>
      <c r="G19" s="14">
        <v>0.5</v>
      </c>
      <c r="H19" s="15">
        <v>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6" ht="22.5" customHeight="1" x14ac:dyDescent="0.25">
      <c r="A20" s="16" t="s">
        <v>189</v>
      </c>
      <c r="B20" s="17" t="s">
        <v>190</v>
      </c>
      <c r="C20" s="25" t="s">
        <v>16</v>
      </c>
      <c r="D20" s="19" t="s">
        <v>12</v>
      </c>
      <c r="E20" s="17" t="s">
        <v>191</v>
      </c>
      <c r="F20" s="21">
        <v>1</v>
      </c>
      <c r="G20" s="21">
        <v>1</v>
      </c>
      <c r="H20" s="22">
        <v>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6" ht="22.5" customHeight="1" x14ac:dyDescent="0.25">
      <c r="A21" s="9" t="s">
        <v>192</v>
      </c>
      <c r="B21" s="10" t="s">
        <v>193</v>
      </c>
      <c r="C21" s="27" t="s">
        <v>16</v>
      </c>
      <c r="D21" s="12" t="s">
        <v>12</v>
      </c>
      <c r="E21" s="10" t="s">
        <v>194</v>
      </c>
      <c r="F21" s="14">
        <v>0.25</v>
      </c>
      <c r="G21" s="14">
        <v>0.25</v>
      </c>
      <c r="H21" s="15">
        <v>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6" ht="22.5" customHeight="1" x14ac:dyDescent="0.25">
      <c r="A22" s="16" t="s">
        <v>195</v>
      </c>
      <c r="B22" s="17" t="s">
        <v>196</v>
      </c>
      <c r="C22" s="25" t="s">
        <v>16</v>
      </c>
      <c r="D22" s="19" t="s">
        <v>12</v>
      </c>
      <c r="E22" s="17" t="s">
        <v>197</v>
      </c>
      <c r="F22" s="21">
        <v>4</v>
      </c>
      <c r="G22" s="21">
        <v>3</v>
      </c>
      <c r="H22" s="22">
        <v>2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6" ht="12.5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5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5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5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5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5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5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5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5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5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5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5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5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5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5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5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5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5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5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5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5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5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5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5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5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5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5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5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5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5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5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5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5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5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5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5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5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5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5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5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5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5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5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5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5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5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5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5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5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5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5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5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5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</sheetData>
  <dataValidations count="3">
    <dataValidation type="list" allowBlank="1" showDropDown="1" showErrorMessage="1" sqref="C9:C12 C16:C22" xr:uid="{00000000-0002-0000-0400-000000000000}">
      <formula1>"cbxiii,ethnchiu,g3rr1c,KateHamada,tjlacasio"</formula1>
    </dataValidation>
    <dataValidation type="list" allowBlank="1" showDropDown="1" showErrorMessage="1" sqref="C2:C5" xr:uid="{00000000-0002-0000-0400-000001000000}">
      <formula1>"KateHamada,g3rr1c,ethnchiu,tjlacasio,cbxiii"</formula1>
    </dataValidation>
    <dataValidation type="custom" allowBlank="1" showDropDown="1" sqref="F9:H12 F16:H22" xr:uid="{00000000-0002-0000-0400-000002000000}">
      <formula1>AND(ISNUMBER(F9),(NOT(OR(NOT(ISERROR(DATEVALUE(F9))), AND(ISNUMBER(F9), LEFT(CELL("format", F9))="D")))))</formula1>
    </dataValidation>
  </dataValidations>
  <hyperlinks>
    <hyperlink ref="B2" r:id="rId1" xr:uid="{00000000-0004-0000-0400-000000000000}"/>
    <hyperlink ref="B3" r:id="rId2" xr:uid="{00000000-0004-0000-0400-000001000000}"/>
    <hyperlink ref="E3" r:id="rId3" xr:uid="{00000000-0004-0000-0400-000002000000}"/>
    <hyperlink ref="B4" r:id="rId4" xr:uid="{00000000-0004-0000-0400-000003000000}"/>
    <hyperlink ref="B5" r:id="rId5" xr:uid="{00000000-0004-0000-0400-000004000000}"/>
    <hyperlink ref="B9" r:id="rId6" xr:uid="{00000000-0004-0000-0400-000005000000}"/>
    <hyperlink ref="E9" r:id="rId7" xr:uid="{00000000-0004-0000-0400-000006000000}"/>
    <hyperlink ref="B10" r:id="rId8" xr:uid="{00000000-0004-0000-0400-000007000000}"/>
    <hyperlink ref="B11" r:id="rId9" xr:uid="{00000000-0004-0000-0400-000008000000}"/>
    <hyperlink ref="E11" r:id="rId10" xr:uid="{00000000-0004-0000-0400-000009000000}"/>
    <hyperlink ref="B12" r:id="rId11" xr:uid="{00000000-0004-0000-0400-00000A000000}"/>
    <hyperlink ref="B16" r:id="rId12" xr:uid="{00000000-0004-0000-0400-00000B000000}"/>
    <hyperlink ref="E16" r:id="rId13" xr:uid="{00000000-0004-0000-0400-00000C000000}"/>
    <hyperlink ref="B17" r:id="rId14" xr:uid="{00000000-0004-0000-0400-00000D000000}"/>
    <hyperlink ref="E17" r:id="rId15" xr:uid="{00000000-0004-0000-0400-00000E000000}"/>
    <hyperlink ref="B18" r:id="rId16" xr:uid="{00000000-0004-0000-0400-00000F000000}"/>
    <hyperlink ref="E18" r:id="rId17" xr:uid="{00000000-0004-0000-0400-000010000000}"/>
    <hyperlink ref="B19" r:id="rId18" xr:uid="{00000000-0004-0000-0400-000011000000}"/>
    <hyperlink ref="E19" r:id="rId19" xr:uid="{00000000-0004-0000-0400-000012000000}"/>
    <hyperlink ref="B20" r:id="rId20" xr:uid="{00000000-0004-0000-0400-000013000000}"/>
    <hyperlink ref="E20" r:id="rId21" xr:uid="{00000000-0004-0000-0400-000014000000}"/>
    <hyperlink ref="B21" r:id="rId22" xr:uid="{00000000-0004-0000-0400-000015000000}"/>
    <hyperlink ref="E21" r:id="rId23" xr:uid="{00000000-0004-0000-0400-000016000000}"/>
    <hyperlink ref="B22" r:id="rId24" xr:uid="{00000000-0004-0000-0400-000017000000}"/>
    <hyperlink ref="E22" r:id="rId25" xr:uid="{00000000-0004-0000-0400-000018000000}"/>
  </hyperlinks>
  <pageMargins left="0.7" right="0.7" top="0.75" bottom="0.75" header="0.3" footer="0.3"/>
  <tableParts count="4">
    <tablePart r:id="rId26"/>
    <tablePart r:id="rId27"/>
    <tablePart r:id="rId28"/>
    <tablePart r:id="rId2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89"/>
  <sheetViews>
    <sheetView workbookViewId="0"/>
  </sheetViews>
  <sheetFormatPr defaultColWidth="12.6328125" defaultRowHeight="15.75" customHeight="1" x14ac:dyDescent="0.25"/>
  <cols>
    <col min="1" max="1" width="37.6328125" customWidth="1"/>
    <col min="2" max="2" width="37" customWidth="1"/>
    <col min="3" max="3" width="16.453125" customWidth="1"/>
    <col min="5" max="5" width="37.6328125" customWidth="1"/>
    <col min="6" max="6" width="16.26953125" customWidth="1"/>
    <col min="7" max="7" width="14.90625" customWidth="1"/>
    <col min="8" max="8" width="18.36328125" customWidth="1"/>
    <col min="9" max="9" width="20.453125" customWidth="1"/>
  </cols>
  <sheetData>
    <row r="1" spans="1:2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5</v>
      </c>
      <c r="K1" s="1" t="s">
        <v>6</v>
      </c>
      <c r="L1" s="1" t="s">
        <v>7</v>
      </c>
    </row>
    <row r="2" spans="1:25" ht="22.5" customHeight="1" x14ac:dyDescent="0.25">
      <c r="A2" s="2" t="s">
        <v>17</v>
      </c>
      <c r="B2" s="3" t="s">
        <v>18</v>
      </c>
      <c r="C2" s="4" t="s">
        <v>19</v>
      </c>
      <c r="D2" s="2" t="s">
        <v>12</v>
      </c>
      <c r="J2" s="52">
        <f>SUM(M1_Ethan[Time Estimate],M2_Ethan[Time Estimate],F21:F30)</f>
        <v>13.5</v>
      </c>
      <c r="K2" s="52">
        <f>SUM(M1_Ethan[Coding Time],M2_Ethan[Coding Time],G21:G30)</f>
        <v>16.5</v>
      </c>
      <c r="L2" s="52">
        <f>SUM(H2:H30)</f>
        <v>3.5</v>
      </c>
    </row>
    <row r="3" spans="1:25" ht="22.5" customHeight="1" x14ac:dyDescent="0.25">
      <c r="A3" s="2" t="s">
        <v>33</v>
      </c>
      <c r="B3" s="3" t="s">
        <v>34</v>
      </c>
      <c r="C3" s="4" t="s">
        <v>19</v>
      </c>
      <c r="D3" s="2" t="s">
        <v>12</v>
      </c>
      <c r="E3" s="3" t="s">
        <v>35</v>
      </c>
    </row>
    <row r="4" spans="1:25" ht="22.5" customHeight="1" x14ac:dyDescent="0.25">
      <c r="A4" s="2" t="s">
        <v>48</v>
      </c>
      <c r="B4" s="3" t="s">
        <v>49</v>
      </c>
      <c r="C4" s="4" t="s">
        <v>19</v>
      </c>
      <c r="D4" s="2" t="s">
        <v>12</v>
      </c>
      <c r="E4" s="3" t="s">
        <v>50</v>
      </c>
    </row>
    <row r="5" spans="1:25" ht="22.5" customHeight="1" x14ac:dyDescent="0.25">
      <c r="A5" s="2" t="s">
        <v>56</v>
      </c>
      <c r="B5" s="3" t="s">
        <v>57</v>
      </c>
      <c r="C5" s="4" t="s">
        <v>19</v>
      </c>
      <c r="D5" s="2" t="s">
        <v>12</v>
      </c>
      <c r="E5" s="3" t="s">
        <v>58</v>
      </c>
    </row>
    <row r="8" spans="1:25" ht="22.5" customHeight="1" x14ac:dyDescent="0.25">
      <c r="A8" s="5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7" t="s">
        <v>61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22.5" customHeight="1" x14ac:dyDescent="0.25">
      <c r="A9" s="16" t="s">
        <v>71</v>
      </c>
      <c r="B9" s="17" t="s">
        <v>72</v>
      </c>
      <c r="C9" s="23" t="s">
        <v>19</v>
      </c>
      <c r="D9" s="19" t="s">
        <v>12</v>
      </c>
      <c r="E9" s="17" t="s">
        <v>73</v>
      </c>
      <c r="F9" s="21">
        <v>1</v>
      </c>
      <c r="G9" s="21">
        <v>1</v>
      </c>
      <c r="H9" s="22">
        <v>0.5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22.5" customHeight="1" x14ac:dyDescent="0.25">
      <c r="A10" s="9" t="s">
        <v>74</v>
      </c>
      <c r="B10" s="10" t="s">
        <v>75</v>
      </c>
      <c r="C10" s="24" t="s">
        <v>19</v>
      </c>
      <c r="D10" s="12" t="s">
        <v>12</v>
      </c>
      <c r="E10" s="10" t="s">
        <v>76</v>
      </c>
      <c r="F10" s="14">
        <v>0.5</v>
      </c>
      <c r="G10" s="14">
        <v>0.5</v>
      </c>
      <c r="H10" s="15">
        <v>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22.5" customHeight="1" x14ac:dyDescent="0.25">
      <c r="A11" s="16" t="s">
        <v>77</v>
      </c>
      <c r="B11" s="17" t="s">
        <v>78</v>
      </c>
      <c r="C11" s="23" t="s">
        <v>19</v>
      </c>
      <c r="D11" s="19" t="s">
        <v>12</v>
      </c>
      <c r="E11" s="17" t="s">
        <v>79</v>
      </c>
      <c r="F11" s="21">
        <v>1</v>
      </c>
      <c r="G11" s="21">
        <v>1</v>
      </c>
      <c r="H11" s="22">
        <v>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22.5" customHeight="1" x14ac:dyDescent="0.25">
      <c r="A12" s="9" t="s">
        <v>80</v>
      </c>
      <c r="B12" s="10" t="s">
        <v>81</v>
      </c>
      <c r="C12" s="24" t="s">
        <v>19</v>
      </c>
      <c r="D12" s="12" t="s">
        <v>12</v>
      </c>
      <c r="E12" s="10" t="s">
        <v>82</v>
      </c>
      <c r="F12" s="14">
        <v>0.5</v>
      </c>
      <c r="G12" s="14">
        <v>1</v>
      </c>
      <c r="H12" s="15">
        <v>0.5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22.5" customHeight="1" x14ac:dyDescent="0.25">
      <c r="A13" s="16" t="s">
        <v>83</v>
      </c>
      <c r="B13" s="17" t="s">
        <v>84</v>
      </c>
      <c r="C13" s="23" t="s">
        <v>19</v>
      </c>
      <c r="D13" s="19" t="s">
        <v>12</v>
      </c>
      <c r="E13" s="17" t="s">
        <v>85</v>
      </c>
      <c r="F13" s="21">
        <v>0.5</v>
      </c>
      <c r="G13" s="21">
        <v>0.5</v>
      </c>
      <c r="H13" s="22">
        <v>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22.5" customHeight="1" x14ac:dyDescent="0.25">
      <c r="A14" s="9" t="s">
        <v>86</v>
      </c>
      <c r="B14" s="10" t="s">
        <v>87</v>
      </c>
      <c r="C14" s="24" t="s">
        <v>19</v>
      </c>
      <c r="D14" s="12" t="s">
        <v>12</v>
      </c>
      <c r="E14" s="10" t="s">
        <v>88</v>
      </c>
      <c r="F14" s="14">
        <v>1</v>
      </c>
      <c r="G14" s="14">
        <v>0.5</v>
      </c>
      <c r="H14" s="15">
        <v>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22.5" customHeight="1" x14ac:dyDescent="0.25">
      <c r="A15" s="16" t="s">
        <v>89</v>
      </c>
      <c r="B15" s="17" t="s">
        <v>90</v>
      </c>
      <c r="C15" s="23" t="s">
        <v>19</v>
      </c>
      <c r="D15" s="19" t="s">
        <v>12</v>
      </c>
      <c r="E15" s="17" t="s">
        <v>91</v>
      </c>
      <c r="F15" s="21">
        <v>0.5</v>
      </c>
      <c r="G15" s="21">
        <v>0.5</v>
      </c>
      <c r="H15" s="22">
        <v>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22.5" customHeight="1" x14ac:dyDescent="0.25">
      <c r="A16" s="9" t="s">
        <v>92</v>
      </c>
      <c r="B16" s="10" t="s">
        <v>93</v>
      </c>
      <c r="C16" s="24" t="s">
        <v>19</v>
      </c>
      <c r="D16" s="12" t="s">
        <v>12</v>
      </c>
      <c r="E16" s="10" t="s">
        <v>94</v>
      </c>
      <c r="F16" s="14">
        <v>0.5</v>
      </c>
      <c r="G16" s="14">
        <v>1</v>
      </c>
      <c r="H16" s="15">
        <v>0.5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6" ht="22.5" customHeight="1" x14ac:dyDescent="0.25">
      <c r="A17" s="16" t="s">
        <v>95</v>
      </c>
      <c r="B17" s="17" t="s">
        <v>96</v>
      </c>
      <c r="C17" s="23" t="s">
        <v>19</v>
      </c>
      <c r="D17" s="19" t="s">
        <v>12</v>
      </c>
      <c r="E17" s="17" t="s">
        <v>97</v>
      </c>
      <c r="F17" s="21">
        <v>0.5</v>
      </c>
      <c r="G17" s="21">
        <v>1</v>
      </c>
      <c r="H17" s="22">
        <v>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6" ht="22.5" customHeight="1" x14ac:dyDescent="0.25">
      <c r="A18" s="9" t="s">
        <v>98</v>
      </c>
      <c r="B18" s="10" t="s">
        <v>99</v>
      </c>
      <c r="C18" s="24" t="s">
        <v>19</v>
      </c>
      <c r="D18" s="12" t="s">
        <v>12</v>
      </c>
      <c r="E18" s="10" t="s">
        <v>100</v>
      </c>
      <c r="F18" s="14">
        <v>0.5</v>
      </c>
      <c r="G18" s="14">
        <v>1</v>
      </c>
      <c r="H18" s="15">
        <v>0.5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6" ht="12.5" x14ac:dyDescent="0.25"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22.5" customHeight="1" x14ac:dyDescent="0.25">
      <c r="A20" s="5" t="s">
        <v>0</v>
      </c>
      <c r="B20" s="6" t="s">
        <v>1</v>
      </c>
      <c r="C20" s="6" t="s">
        <v>2</v>
      </c>
      <c r="D20" s="6" t="s">
        <v>3</v>
      </c>
      <c r="E20" s="6" t="s">
        <v>4</v>
      </c>
      <c r="F20" s="6" t="s">
        <v>5</v>
      </c>
      <c r="G20" s="6" t="s">
        <v>6</v>
      </c>
      <c r="H20" s="7" t="s">
        <v>7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22.5" customHeight="1" x14ac:dyDescent="0.25">
      <c r="A21" s="16" t="s">
        <v>148</v>
      </c>
      <c r="B21" s="17" t="s">
        <v>149</v>
      </c>
      <c r="C21" s="23" t="s">
        <v>19</v>
      </c>
      <c r="D21" s="19" t="s">
        <v>12</v>
      </c>
      <c r="E21" s="17" t="s">
        <v>150</v>
      </c>
      <c r="F21" s="21">
        <v>0.5</v>
      </c>
      <c r="G21" s="21">
        <v>0.5</v>
      </c>
      <c r="H21" s="22">
        <v>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22.5" customHeight="1" x14ac:dyDescent="0.25">
      <c r="A22" s="9" t="s">
        <v>151</v>
      </c>
      <c r="B22" s="10" t="s">
        <v>152</v>
      </c>
      <c r="C22" s="24" t="s">
        <v>19</v>
      </c>
      <c r="D22" s="12" t="s">
        <v>12</v>
      </c>
      <c r="E22" s="10" t="s">
        <v>153</v>
      </c>
      <c r="F22" s="14">
        <v>0.5</v>
      </c>
      <c r="G22" s="14">
        <v>0.5</v>
      </c>
      <c r="H22" s="15">
        <v>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22.5" customHeight="1" x14ac:dyDescent="0.25">
      <c r="A23" s="16" t="s">
        <v>154</v>
      </c>
      <c r="B23" s="17" t="s">
        <v>155</v>
      </c>
      <c r="C23" s="23" t="s">
        <v>19</v>
      </c>
      <c r="D23" s="19" t="s">
        <v>12</v>
      </c>
      <c r="E23" s="17" t="s">
        <v>156</v>
      </c>
      <c r="F23" s="21">
        <v>0.5</v>
      </c>
      <c r="G23" s="21">
        <v>0.5</v>
      </c>
      <c r="H23" s="22">
        <v>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2.5" customHeight="1" x14ac:dyDescent="0.25">
      <c r="A24" s="9" t="s">
        <v>157</v>
      </c>
      <c r="B24" s="10" t="s">
        <v>158</v>
      </c>
      <c r="C24" s="24" t="s">
        <v>19</v>
      </c>
      <c r="D24" s="12" t="s">
        <v>12</v>
      </c>
      <c r="E24" s="10" t="s">
        <v>159</v>
      </c>
      <c r="F24" s="14">
        <v>0.5</v>
      </c>
      <c r="G24" s="14">
        <v>0.5</v>
      </c>
      <c r="H24" s="15">
        <v>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6" ht="22.5" customHeight="1" x14ac:dyDescent="0.25">
      <c r="A25" s="16" t="s">
        <v>160</v>
      </c>
      <c r="B25" s="17" t="s">
        <v>161</v>
      </c>
      <c r="C25" s="23" t="s">
        <v>19</v>
      </c>
      <c r="D25" s="19" t="s">
        <v>12</v>
      </c>
      <c r="E25" s="17" t="s">
        <v>162</v>
      </c>
      <c r="F25" s="21">
        <v>0.5</v>
      </c>
      <c r="G25" s="21">
        <v>1</v>
      </c>
      <c r="H25" s="22">
        <v>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6" ht="22.5" customHeight="1" x14ac:dyDescent="0.25">
      <c r="A26" s="9" t="s">
        <v>163</v>
      </c>
      <c r="B26" s="10" t="s">
        <v>164</v>
      </c>
      <c r="C26" s="24" t="s">
        <v>19</v>
      </c>
      <c r="D26" s="12" t="s">
        <v>12</v>
      </c>
      <c r="E26" s="10" t="s">
        <v>165</v>
      </c>
      <c r="F26" s="14">
        <v>0.5</v>
      </c>
      <c r="G26" s="14">
        <v>0.5</v>
      </c>
      <c r="H26" s="15">
        <v>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6" ht="22.5" customHeight="1" x14ac:dyDescent="0.25">
      <c r="A27" s="16" t="s">
        <v>166</v>
      </c>
      <c r="B27" s="17" t="s">
        <v>167</v>
      </c>
      <c r="C27" s="23" t="s">
        <v>19</v>
      </c>
      <c r="D27" s="19" t="s">
        <v>12</v>
      </c>
      <c r="E27" s="17" t="s">
        <v>168</v>
      </c>
      <c r="F27" s="21">
        <v>0.5</v>
      </c>
      <c r="G27" s="21">
        <v>0.5</v>
      </c>
      <c r="H27" s="22">
        <v>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6" ht="22.5" customHeight="1" x14ac:dyDescent="0.25">
      <c r="A28" s="9" t="s">
        <v>169</v>
      </c>
      <c r="B28" s="10" t="s">
        <v>170</v>
      </c>
      <c r="C28" s="24" t="s">
        <v>19</v>
      </c>
      <c r="D28" s="12" t="s">
        <v>12</v>
      </c>
      <c r="E28" s="10" t="s">
        <v>171</v>
      </c>
      <c r="F28" s="14">
        <v>1</v>
      </c>
      <c r="G28" s="14">
        <v>1</v>
      </c>
      <c r="H28" s="15">
        <v>0.5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6" ht="22.5" customHeight="1" x14ac:dyDescent="0.25">
      <c r="A29" s="16" t="s">
        <v>172</v>
      </c>
      <c r="B29" s="17" t="s">
        <v>173</v>
      </c>
      <c r="C29" s="23" t="s">
        <v>19</v>
      </c>
      <c r="D29" s="19" t="s">
        <v>12</v>
      </c>
      <c r="E29" s="17" t="s">
        <v>174</v>
      </c>
      <c r="F29" s="21">
        <v>2</v>
      </c>
      <c r="G29" s="21">
        <v>3</v>
      </c>
      <c r="H29" s="22">
        <v>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6" ht="22.5" customHeight="1" x14ac:dyDescent="0.25">
      <c r="A30" s="9" t="s">
        <v>175</v>
      </c>
      <c r="B30" s="10" t="s">
        <v>176</v>
      </c>
      <c r="C30" s="24" t="s">
        <v>19</v>
      </c>
      <c r="D30" s="12" t="s">
        <v>12</v>
      </c>
      <c r="E30" s="10" t="s">
        <v>174</v>
      </c>
      <c r="F30" s="14">
        <v>0.5</v>
      </c>
      <c r="G30" s="14">
        <v>0.5</v>
      </c>
      <c r="H30" s="15">
        <v>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6" ht="12.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5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5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5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5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5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5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5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5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5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5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5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5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5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5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5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5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5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5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5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5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5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5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5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5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5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5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5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5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5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5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5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5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5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5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5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5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5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5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5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5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5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5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5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5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5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5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</sheetData>
  <dataValidations count="3">
    <dataValidation type="list" allowBlank="1" showDropDown="1" showErrorMessage="1" sqref="C9:C18 C21:C30" xr:uid="{00000000-0002-0000-0500-000000000000}">
      <formula1>"cbxiii,ethnchiu,g3rr1c,KateHamada,tjlacasio"</formula1>
    </dataValidation>
    <dataValidation type="list" allowBlank="1" showDropDown="1" showErrorMessage="1" sqref="C2:C5" xr:uid="{00000000-0002-0000-0500-000001000000}">
      <formula1>"KateHamada,g3rr1c,ethnchiu,tjlacasio,cbxiii"</formula1>
    </dataValidation>
    <dataValidation type="custom" allowBlank="1" showDropDown="1" sqref="F9:H18 F21:H30" xr:uid="{00000000-0002-0000-0500-000002000000}">
      <formula1>AND(ISNUMBER(F9),(NOT(OR(NOT(ISERROR(DATEVALUE(F9))), AND(ISNUMBER(F9), LEFT(CELL("format", F9))="D")))))</formula1>
    </dataValidation>
  </dataValidations>
  <hyperlinks>
    <hyperlink ref="B2" r:id="rId1" xr:uid="{00000000-0004-0000-0500-000000000000}"/>
    <hyperlink ref="B3" r:id="rId2" xr:uid="{00000000-0004-0000-0500-000001000000}"/>
    <hyperlink ref="E3" r:id="rId3" xr:uid="{00000000-0004-0000-0500-000002000000}"/>
    <hyperlink ref="B4" r:id="rId4" xr:uid="{00000000-0004-0000-0500-000003000000}"/>
    <hyperlink ref="E4" r:id="rId5" xr:uid="{00000000-0004-0000-0500-000004000000}"/>
    <hyperlink ref="B5" r:id="rId6" xr:uid="{00000000-0004-0000-0500-000005000000}"/>
    <hyperlink ref="E5" r:id="rId7" xr:uid="{00000000-0004-0000-0500-000006000000}"/>
    <hyperlink ref="B9" r:id="rId8" xr:uid="{00000000-0004-0000-0500-000007000000}"/>
    <hyperlink ref="E9" r:id="rId9" xr:uid="{00000000-0004-0000-0500-000008000000}"/>
    <hyperlink ref="B10" r:id="rId10" xr:uid="{00000000-0004-0000-0500-000009000000}"/>
    <hyperlink ref="E10" r:id="rId11" xr:uid="{00000000-0004-0000-0500-00000A000000}"/>
    <hyperlink ref="B11" r:id="rId12" xr:uid="{00000000-0004-0000-0500-00000B000000}"/>
    <hyperlink ref="E11" r:id="rId13" xr:uid="{00000000-0004-0000-0500-00000C000000}"/>
    <hyperlink ref="B12" r:id="rId14" xr:uid="{00000000-0004-0000-0500-00000D000000}"/>
    <hyperlink ref="E12" r:id="rId15" xr:uid="{00000000-0004-0000-0500-00000E000000}"/>
    <hyperlink ref="B13" r:id="rId16" xr:uid="{00000000-0004-0000-0500-00000F000000}"/>
    <hyperlink ref="E13" r:id="rId17" xr:uid="{00000000-0004-0000-0500-000010000000}"/>
    <hyperlink ref="B14" r:id="rId18" xr:uid="{00000000-0004-0000-0500-000011000000}"/>
    <hyperlink ref="E14" r:id="rId19" xr:uid="{00000000-0004-0000-0500-000012000000}"/>
    <hyperlink ref="B15" r:id="rId20" xr:uid="{00000000-0004-0000-0500-000013000000}"/>
    <hyperlink ref="E15" r:id="rId21" xr:uid="{00000000-0004-0000-0500-000014000000}"/>
    <hyperlink ref="B16" r:id="rId22" xr:uid="{00000000-0004-0000-0500-000015000000}"/>
    <hyperlink ref="E16" r:id="rId23" xr:uid="{00000000-0004-0000-0500-000016000000}"/>
    <hyperlink ref="B17" r:id="rId24" xr:uid="{00000000-0004-0000-0500-000017000000}"/>
    <hyperlink ref="E17" r:id="rId25" xr:uid="{00000000-0004-0000-0500-000018000000}"/>
    <hyperlink ref="B18" r:id="rId26" xr:uid="{00000000-0004-0000-0500-000019000000}"/>
    <hyperlink ref="E18" r:id="rId27" xr:uid="{00000000-0004-0000-0500-00001A000000}"/>
    <hyperlink ref="B21" r:id="rId28" xr:uid="{00000000-0004-0000-0500-00001B000000}"/>
    <hyperlink ref="E21" r:id="rId29" xr:uid="{00000000-0004-0000-0500-00001C000000}"/>
    <hyperlink ref="B22" r:id="rId30" xr:uid="{00000000-0004-0000-0500-00001D000000}"/>
    <hyperlink ref="E22" r:id="rId31" xr:uid="{00000000-0004-0000-0500-00001E000000}"/>
    <hyperlink ref="B23" r:id="rId32" xr:uid="{00000000-0004-0000-0500-00001F000000}"/>
    <hyperlink ref="E23" r:id="rId33" xr:uid="{00000000-0004-0000-0500-000020000000}"/>
    <hyperlink ref="B24" r:id="rId34" xr:uid="{00000000-0004-0000-0500-000021000000}"/>
    <hyperlink ref="E24" r:id="rId35" xr:uid="{00000000-0004-0000-0500-000022000000}"/>
    <hyperlink ref="B25" r:id="rId36" xr:uid="{00000000-0004-0000-0500-000023000000}"/>
    <hyperlink ref="E25" r:id="rId37" xr:uid="{00000000-0004-0000-0500-000024000000}"/>
    <hyperlink ref="B26" r:id="rId38" xr:uid="{00000000-0004-0000-0500-000025000000}"/>
    <hyperlink ref="E26" r:id="rId39" xr:uid="{00000000-0004-0000-0500-000026000000}"/>
    <hyperlink ref="B27" r:id="rId40" xr:uid="{00000000-0004-0000-0500-000027000000}"/>
    <hyperlink ref="E27" r:id="rId41" xr:uid="{00000000-0004-0000-0500-000028000000}"/>
    <hyperlink ref="B28" r:id="rId42" xr:uid="{00000000-0004-0000-0500-000029000000}"/>
    <hyperlink ref="E28" r:id="rId43" xr:uid="{00000000-0004-0000-0500-00002A000000}"/>
    <hyperlink ref="B29" r:id="rId44" xr:uid="{00000000-0004-0000-0500-00002B000000}"/>
    <hyperlink ref="E29" r:id="rId45" xr:uid="{00000000-0004-0000-0500-00002C000000}"/>
    <hyperlink ref="B30" r:id="rId46" xr:uid="{00000000-0004-0000-0500-00002D000000}"/>
    <hyperlink ref="E30" r:id="rId47" xr:uid="{00000000-0004-0000-0500-00002E000000}"/>
  </hyperlinks>
  <pageMargins left="0.7" right="0.7" top="0.75" bottom="0.75" header="0.3" footer="0.3"/>
  <tableParts count="4">
    <tablePart r:id="rId48"/>
    <tablePart r:id="rId49"/>
    <tablePart r:id="rId50"/>
    <tablePart r:id="rId5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85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37.6328125" customWidth="1"/>
    <col min="2" max="2" width="37" customWidth="1"/>
    <col min="3" max="3" width="16.453125" customWidth="1"/>
    <col min="5" max="5" width="37.6328125" customWidth="1"/>
    <col min="6" max="6" width="16.26953125" customWidth="1"/>
    <col min="7" max="7" width="14.90625" customWidth="1"/>
    <col min="8" max="8" width="18.36328125" customWidth="1"/>
    <col min="9" max="9" width="20.45312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5</v>
      </c>
      <c r="K1" s="1" t="s">
        <v>6</v>
      </c>
      <c r="L1" s="1" t="s">
        <v>7</v>
      </c>
    </row>
    <row r="2" spans="1:26" ht="22.5" customHeight="1" x14ac:dyDescent="0.25">
      <c r="A2" s="2" t="s">
        <v>26</v>
      </c>
      <c r="B2" s="3" t="s">
        <v>27</v>
      </c>
      <c r="C2" s="4" t="s">
        <v>28</v>
      </c>
      <c r="D2" s="2" t="s">
        <v>12</v>
      </c>
      <c r="E2" s="3" t="s">
        <v>29</v>
      </c>
      <c r="F2" s="2">
        <v>1</v>
      </c>
      <c r="G2" s="2">
        <v>2</v>
      </c>
      <c r="H2" s="2">
        <v>0</v>
      </c>
      <c r="J2" s="48">
        <f>SUM(M1_Effort_TJ[Time Estimate],M2_EffortTJ[Time Estimate],F15:F25)</f>
        <v>18</v>
      </c>
      <c r="K2" s="48">
        <f>SUM(M1_Effort_TJ[Coding Time],M2_EffortTJ[Coding Time],G15:G25)</f>
        <v>21</v>
      </c>
      <c r="L2" s="48">
        <f>SUM(M1_Effort_TJ[Non-Coding Time],M2_EffortTJ[Non-coding Time],H15:H25)</f>
        <v>2</v>
      </c>
    </row>
    <row r="3" spans="1:26" ht="22.5" customHeight="1" x14ac:dyDescent="0.25">
      <c r="A3" s="2" t="s">
        <v>40</v>
      </c>
      <c r="B3" s="3" t="s">
        <v>41</v>
      </c>
      <c r="C3" s="4" t="s">
        <v>28</v>
      </c>
      <c r="D3" s="2" t="s">
        <v>12</v>
      </c>
      <c r="F3" s="2">
        <v>1</v>
      </c>
      <c r="G3" s="2">
        <v>1</v>
      </c>
      <c r="H3" s="2">
        <v>0</v>
      </c>
    </row>
    <row r="6" spans="1:26" ht="22.5" customHeight="1" x14ac:dyDescent="0.25">
      <c r="A6" s="5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7" t="s">
        <v>61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6" ht="22.5" customHeight="1" x14ac:dyDescent="0.25">
      <c r="A7" s="16" t="s">
        <v>129</v>
      </c>
      <c r="B7" s="17" t="s">
        <v>130</v>
      </c>
      <c r="C7" s="31" t="s">
        <v>28</v>
      </c>
      <c r="D7" s="19" t="s">
        <v>12</v>
      </c>
      <c r="E7" s="17" t="s">
        <v>131</v>
      </c>
      <c r="F7" s="21">
        <v>1</v>
      </c>
      <c r="G7" s="21">
        <v>0.5</v>
      </c>
      <c r="H7" s="22">
        <v>0.3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6" ht="22.5" customHeight="1" x14ac:dyDescent="0.25">
      <c r="A8" s="9" t="s">
        <v>132</v>
      </c>
      <c r="B8" s="10" t="s">
        <v>133</v>
      </c>
      <c r="C8" s="32" t="s">
        <v>28</v>
      </c>
      <c r="D8" s="12" t="s">
        <v>12</v>
      </c>
      <c r="E8" s="13"/>
      <c r="F8" s="14">
        <v>1</v>
      </c>
      <c r="G8" s="14">
        <v>1</v>
      </c>
      <c r="H8" s="15">
        <v>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6" ht="22.5" customHeight="1" x14ac:dyDescent="0.25">
      <c r="A9" s="16" t="s">
        <v>134</v>
      </c>
      <c r="B9" s="17" t="s">
        <v>135</v>
      </c>
      <c r="C9" s="31" t="s">
        <v>28</v>
      </c>
      <c r="D9" s="19" t="s">
        <v>12</v>
      </c>
      <c r="E9" s="17" t="s">
        <v>131</v>
      </c>
      <c r="F9" s="21">
        <v>2</v>
      </c>
      <c r="G9" s="53">
        <v>2</v>
      </c>
      <c r="H9" s="22">
        <v>0.2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6" ht="22.5" customHeight="1" x14ac:dyDescent="0.25">
      <c r="A10" s="33" t="s">
        <v>136</v>
      </c>
      <c r="B10" s="34" t="s">
        <v>137</v>
      </c>
      <c r="C10" s="35" t="s">
        <v>28</v>
      </c>
      <c r="D10" s="36" t="s">
        <v>12</v>
      </c>
      <c r="E10" s="34" t="s">
        <v>138</v>
      </c>
      <c r="F10" s="38">
        <v>2</v>
      </c>
      <c r="G10" s="38">
        <v>2.5</v>
      </c>
      <c r="H10" s="39">
        <v>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6" ht="12.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2.5" customHeight="1" x14ac:dyDescent="0.25">
      <c r="A13" s="5" t="s">
        <v>0</v>
      </c>
      <c r="B13" s="6" t="s">
        <v>1</v>
      </c>
      <c r="C13" s="6" t="s">
        <v>2</v>
      </c>
      <c r="D13" s="6" t="s">
        <v>3</v>
      </c>
      <c r="E13" s="6" t="s">
        <v>4</v>
      </c>
      <c r="F13" s="6" t="s">
        <v>5</v>
      </c>
      <c r="G13" s="6" t="s">
        <v>6</v>
      </c>
      <c r="H13" s="7" t="s">
        <v>7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6" ht="22.5" customHeight="1" x14ac:dyDescent="0.25">
      <c r="A14" s="9" t="s">
        <v>215</v>
      </c>
      <c r="B14" s="10" t="s">
        <v>216</v>
      </c>
      <c r="C14" s="32" t="s">
        <v>28</v>
      </c>
      <c r="D14" s="12" t="s">
        <v>12</v>
      </c>
      <c r="E14" s="13"/>
      <c r="F14" s="40"/>
      <c r="G14" s="40"/>
      <c r="H14" s="2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6" ht="22.5" customHeight="1" x14ac:dyDescent="0.25">
      <c r="A15" s="16" t="s">
        <v>217</v>
      </c>
      <c r="B15" s="17" t="s">
        <v>218</v>
      </c>
      <c r="C15" s="31" t="s">
        <v>28</v>
      </c>
      <c r="D15" s="19" t="s">
        <v>12</v>
      </c>
      <c r="E15" s="17" t="s">
        <v>219</v>
      </c>
      <c r="F15" s="21">
        <v>0.5</v>
      </c>
      <c r="G15" s="21">
        <v>0.5</v>
      </c>
      <c r="H15" s="22">
        <v>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6" ht="22.5" customHeight="1" x14ac:dyDescent="0.25">
      <c r="A16" s="9" t="s">
        <v>220</v>
      </c>
      <c r="B16" s="10" t="s">
        <v>221</v>
      </c>
      <c r="C16" s="32" t="s">
        <v>28</v>
      </c>
      <c r="D16" s="12" t="s">
        <v>12</v>
      </c>
      <c r="E16" s="13"/>
      <c r="F16" s="14">
        <v>0.5</v>
      </c>
      <c r="G16" s="14">
        <v>0</v>
      </c>
      <c r="H16" s="15">
        <v>0.5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6" ht="22.5" customHeight="1" x14ac:dyDescent="0.25">
      <c r="A17" s="16" t="s">
        <v>222</v>
      </c>
      <c r="B17" s="17" t="s">
        <v>223</v>
      </c>
      <c r="C17" s="31" t="s">
        <v>28</v>
      </c>
      <c r="D17" s="19" t="s">
        <v>12</v>
      </c>
      <c r="E17" s="17" t="s">
        <v>224</v>
      </c>
      <c r="F17" s="21">
        <v>0.5</v>
      </c>
      <c r="G17" s="21">
        <v>1</v>
      </c>
      <c r="H17" s="22">
        <v>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6" ht="22.5" customHeight="1" x14ac:dyDescent="0.25">
      <c r="A18" s="9" t="s">
        <v>225</v>
      </c>
      <c r="B18" s="10" t="s">
        <v>226</v>
      </c>
      <c r="C18" s="32" t="s">
        <v>28</v>
      </c>
      <c r="D18" s="12" t="s">
        <v>12</v>
      </c>
      <c r="E18" s="10" t="s">
        <v>227</v>
      </c>
      <c r="F18" s="14">
        <v>1</v>
      </c>
      <c r="G18" s="14">
        <v>1</v>
      </c>
      <c r="H18" s="15">
        <v>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6" ht="22.5" customHeight="1" x14ac:dyDescent="0.25">
      <c r="A19" s="16" t="s">
        <v>228</v>
      </c>
      <c r="B19" s="17" t="s">
        <v>229</v>
      </c>
      <c r="C19" s="31" t="s">
        <v>28</v>
      </c>
      <c r="D19" s="19" t="s">
        <v>12</v>
      </c>
      <c r="E19" s="17" t="s">
        <v>230</v>
      </c>
      <c r="F19" s="21">
        <v>1</v>
      </c>
      <c r="G19" s="53">
        <v>1.5</v>
      </c>
      <c r="H19" s="22">
        <v>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6" ht="22.5" customHeight="1" x14ac:dyDescent="0.25">
      <c r="A20" s="9" t="s">
        <v>231</v>
      </c>
      <c r="B20" s="10" t="s">
        <v>232</v>
      </c>
      <c r="C20" s="32" t="s">
        <v>28</v>
      </c>
      <c r="D20" s="12" t="s">
        <v>12</v>
      </c>
      <c r="E20" s="41" t="s">
        <v>233</v>
      </c>
      <c r="F20" s="14">
        <v>0.5</v>
      </c>
      <c r="G20" s="14">
        <v>0.5</v>
      </c>
      <c r="H20" s="15">
        <v>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6" ht="22.5" customHeight="1" x14ac:dyDescent="0.25">
      <c r="A21" s="16" t="s">
        <v>234</v>
      </c>
      <c r="B21" s="17" t="s">
        <v>235</v>
      </c>
      <c r="C21" s="31" t="s">
        <v>28</v>
      </c>
      <c r="D21" s="19" t="s">
        <v>12</v>
      </c>
      <c r="E21" s="42" t="s">
        <v>236</v>
      </c>
      <c r="F21" s="21">
        <v>1</v>
      </c>
      <c r="G21" s="21">
        <v>1</v>
      </c>
      <c r="H21" s="22">
        <v>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6" ht="22.5" customHeight="1" x14ac:dyDescent="0.25">
      <c r="A22" s="9" t="s">
        <v>237</v>
      </c>
      <c r="B22" s="10" t="s">
        <v>238</v>
      </c>
      <c r="C22" s="32" t="s">
        <v>28</v>
      </c>
      <c r="D22" s="12" t="s">
        <v>12</v>
      </c>
      <c r="E22" s="41" t="s">
        <v>239</v>
      </c>
      <c r="F22" s="14">
        <v>2</v>
      </c>
      <c r="G22" s="14">
        <v>3</v>
      </c>
      <c r="H22" s="15">
        <v>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6" ht="22.5" customHeight="1" x14ac:dyDescent="0.25">
      <c r="A23" s="16" t="s">
        <v>240</v>
      </c>
      <c r="B23" s="17" t="s">
        <v>241</v>
      </c>
      <c r="C23" s="31" t="s">
        <v>28</v>
      </c>
      <c r="D23" s="19" t="s">
        <v>12</v>
      </c>
      <c r="E23" s="17" t="s">
        <v>242</v>
      </c>
      <c r="F23" s="21">
        <v>1</v>
      </c>
      <c r="G23" s="21">
        <v>1.5</v>
      </c>
      <c r="H23" s="22">
        <v>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6" ht="22.5" customHeight="1" x14ac:dyDescent="0.25">
      <c r="A24" s="9" t="s">
        <v>243</v>
      </c>
      <c r="B24" s="10" t="s">
        <v>244</v>
      </c>
      <c r="C24" s="32" t="s">
        <v>28</v>
      </c>
      <c r="D24" s="12" t="s">
        <v>12</v>
      </c>
      <c r="E24" s="10" t="s">
        <v>245</v>
      </c>
      <c r="F24" s="14">
        <v>1</v>
      </c>
      <c r="G24" s="14">
        <v>1</v>
      </c>
      <c r="H24" s="15">
        <v>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6" ht="22.5" customHeight="1" x14ac:dyDescent="0.25">
      <c r="A25" s="16" t="s">
        <v>246</v>
      </c>
      <c r="B25" s="17" t="s">
        <v>247</v>
      </c>
      <c r="C25" s="31" t="s">
        <v>28</v>
      </c>
      <c r="D25" s="19" t="s">
        <v>12</v>
      </c>
      <c r="E25" s="42" t="s">
        <v>248</v>
      </c>
      <c r="F25" s="21">
        <v>1</v>
      </c>
      <c r="G25" s="21">
        <v>1</v>
      </c>
      <c r="H25" s="22">
        <v>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6" ht="12.5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5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5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5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5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5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5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5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5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5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5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5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5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5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5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5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5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5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5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5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5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5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5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5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5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5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5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5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5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5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5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5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5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5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5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5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5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5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5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5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5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5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5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5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5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5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5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5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5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5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</sheetData>
  <dataValidations count="3">
    <dataValidation type="list" allowBlank="1" showDropDown="1" showErrorMessage="1" sqref="C7:C10 C14:C25" xr:uid="{00000000-0002-0000-0600-000000000000}">
      <formula1>"cbxiii,ethnchiu,g3rr1c,KateHamada,tjlacasio"</formula1>
    </dataValidation>
    <dataValidation type="list" allowBlank="1" showDropDown="1" showErrorMessage="1" sqref="C2:C3" xr:uid="{00000000-0002-0000-0600-000001000000}">
      <formula1>"KateHamada,g3rr1c,ethnchiu,tjlacasio,cbxiii"</formula1>
    </dataValidation>
    <dataValidation type="custom" allowBlank="1" showDropDown="1" sqref="F7:H10 F14:H25" xr:uid="{00000000-0002-0000-0600-000002000000}">
      <formula1>AND(ISNUMBER(F7),(NOT(OR(NOT(ISERROR(DATEVALUE(F7))), AND(ISNUMBER(F7), LEFT(CELL("format", F7))="D")))))</formula1>
    </dataValidation>
  </dataValidations>
  <hyperlinks>
    <hyperlink ref="B2" r:id="rId1" xr:uid="{00000000-0004-0000-0600-000000000000}"/>
    <hyperlink ref="E2" r:id="rId2" xr:uid="{00000000-0004-0000-0600-000001000000}"/>
    <hyperlink ref="B3" r:id="rId3" xr:uid="{00000000-0004-0000-0600-000002000000}"/>
    <hyperlink ref="B7" r:id="rId4" xr:uid="{00000000-0004-0000-0600-000003000000}"/>
    <hyperlink ref="E7" r:id="rId5" xr:uid="{00000000-0004-0000-0600-000004000000}"/>
    <hyperlink ref="B8" r:id="rId6" xr:uid="{00000000-0004-0000-0600-000005000000}"/>
    <hyperlink ref="B9" r:id="rId7" xr:uid="{00000000-0004-0000-0600-000006000000}"/>
    <hyperlink ref="E9" r:id="rId8" xr:uid="{00000000-0004-0000-0600-000007000000}"/>
    <hyperlink ref="B10" r:id="rId9" xr:uid="{00000000-0004-0000-0600-000008000000}"/>
    <hyperlink ref="E10" r:id="rId10" xr:uid="{00000000-0004-0000-0600-000009000000}"/>
    <hyperlink ref="B14" r:id="rId11" xr:uid="{00000000-0004-0000-0600-00000A000000}"/>
    <hyperlink ref="B15" r:id="rId12" xr:uid="{00000000-0004-0000-0600-00000B000000}"/>
    <hyperlink ref="E15" r:id="rId13" xr:uid="{00000000-0004-0000-0600-00000C000000}"/>
    <hyperlink ref="B16" r:id="rId14" xr:uid="{00000000-0004-0000-0600-00000D000000}"/>
    <hyperlink ref="B17" r:id="rId15" xr:uid="{00000000-0004-0000-0600-00000E000000}"/>
    <hyperlink ref="E17" r:id="rId16" xr:uid="{00000000-0004-0000-0600-00000F000000}"/>
    <hyperlink ref="B18" r:id="rId17" xr:uid="{00000000-0004-0000-0600-000010000000}"/>
    <hyperlink ref="E18" r:id="rId18" xr:uid="{00000000-0004-0000-0600-000011000000}"/>
    <hyperlink ref="B19" r:id="rId19" xr:uid="{00000000-0004-0000-0600-000012000000}"/>
    <hyperlink ref="E19" r:id="rId20" xr:uid="{00000000-0004-0000-0600-000013000000}"/>
    <hyperlink ref="B20" r:id="rId21" xr:uid="{00000000-0004-0000-0600-000014000000}"/>
    <hyperlink ref="E20" r:id="rId22" xr:uid="{00000000-0004-0000-0600-000015000000}"/>
    <hyperlink ref="B21" r:id="rId23" xr:uid="{00000000-0004-0000-0600-000016000000}"/>
    <hyperlink ref="E21" r:id="rId24" xr:uid="{00000000-0004-0000-0600-000017000000}"/>
    <hyperlink ref="B22" r:id="rId25" xr:uid="{00000000-0004-0000-0600-000018000000}"/>
    <hyperlink ref="E22" r:id="rId26" xr:uid="{00000000-0004-0000-0600-000019000000}"/>
    <hyperlink ref="B23" r:id="rId27" xr:uid="{00000000-0004-0000-0600-00001A000000}"/>
    <hyperlink ref="E23" r:id="rId28" xr:uid="{00000000-0004-0000-0600-00001B000000}"/>
    <hyperlink ref="B24" r:id="rId29" xr:uid="{00000000-0004-0000-0600-00001C000000}"/>
    <hyperlink ref="E24" r:id="rId30" xr:uid="{00000000-0004-0000-0600-00001D000000}"/>
    <hyperlink ref="B25" r:id="rId31" xr:uid="{00000000-0004-0000-0600-00001E000000}"/>
    <hyperlink ref="E25" r:id="rId32" xr:uid="{00000000-0004-0000-0600-00001F000000}"/>
  </hyperlinks>
  <pageMargins left="0.7" right="0.7" top="0.75" bottom="0.75" header="0.3" footer="0.3"/>
  <tableParts count="4">
    <tablePart r:id="rId33"/>
    <tablePart r:id="rId34"/>
    <tablePart r:id="rId35"/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M1 - M1 Project Estimation</vt:lpstr>
      <vt:lpstr>Members Total</vt:lpstr>
      <vt:lpstr>Charles</vt:lpstr>
      <vt:lpstr>Kate</vt:lpstr>
      <vt:lpstr>Gerric</vt:lpstr>
      <vt:lpstr>Ethan</vt:lpstr>
      <vt:lpstr>TJ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 Hamada</cp:lastModifiedBy>
  <dcterms:modified xsi:type="dcterms:W3CDTF">2025-12-16T05:53:39Z</dcterms:modified>
</cp:coreProperties>
</file>